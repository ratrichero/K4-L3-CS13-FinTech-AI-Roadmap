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1_Danh sách việc" sheetId="3" state="visible" r:id="rId3"/>
    <sheet xmlns:r="http://schemas.openxmlformats.org/officeDocument/2006/relationships" name="2_Mức tự động" sheetId="4" state="visible" r:id="rId4"/>
    <sheet xmlns:r="http://schemas.openxmlformats.org/officeDocument/2006/relationships" name="3_Bảng lộ trình" sheetId="5" state="visible" r:id="rId5"/>
    <sheet xmlns:r="http://schemas.openxmlformats.org/officeDocument/2006/relationships" name="4_Rà soát" sheetId="6" state="visible" r:id="rId6"/>
    <sheet xmlns:r="http://schemas.openxmlformats.org/officeDocument/2006/relationships" name="5_Slide lãnh đạo" sheetId="7" state="visible" r:id="rId7"/>
    <sheet xmlns:r="http://schemas.openxmlformats.org/officeDocument/2006/relationships" name="6_Tự kiểm tra" sheetId="8" state="visible" r:id="rId8"/>
    <sheet xmlns:r="http://schemas.openxmlformats.org/officeDocument/2006/relationships" name="7_Thang điểm"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RED]\-#,##0"/>
    <numFmt numFmtId="165"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Cambria"/>
      <charset val="1"/>
      <family val="0"/>
      <b val="1"/>
      <sz val="11"/>
    </font>
    <font>
      <name val="Calibri"/>
      <charset val="1"/>
      <family val="0"/>
      <sz val="11"/>
    </font>
    <font>
      <name val="Calibri"/>
      <charset val="1"/>
      <family val="0"/>
      <i val="1"/>
      <color rgb="FF595959"/>
      <sz val="10"/>
    </font>
    <font>
      <name val="Cambria"/>
      <charset val="1"/>
      <family val="0"/>
      <b val="1"/>
      <sz val="12"/>
    </font>
  </fonts>
  <fills count="5">
    <fill>
      <patternFill/>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32" min="1" max="1"/>
  </cols>
  <sheetData>
    <row r="1" ht="17.25" customHeight="1" s="33">
      <c r="A1" s="34" t="inlineStr">
        <is>
          <t>CS13 · Lộ trình sản phẩm AI — File thực hành · Đề 3 · RaViện</t>
        </is>
      </c>
    </row>
    <row r="2" ht="15" customHeight="1" s="33">
      <c r="A2" s="35" t="inlineStr">
        <is>
          <t>AI in Action · Track 1 · Khóa 4. FILE LÀM BÀI CỦA NHÓM · Đề 3 · RaViện. Dữ liệu của đề nằm trong file CS13_HoSoTinhHuong.pdf; file CS13_Roadmap_Mau.xlsx là bản mẫu đã điền (một sản phẩm khác) để xem cách điền.</t>
        </is>
      </c>
    </row>
    <row r="4" ht="15" customHeight="1" s="33">
      <c r="A4" s="32" t="inlineStr">
        <is>
          <t>Luật chơi: CHỈ điền vào ô màu VÀNG. Ô màu XANH là công thức và đã được khóa. Bắt đầu bằng trang 0_Đầu vào (Nhiệm vụ 0: đọc hồ sơ tình huống).</t>
        </is>
      </c>
    </row>
    <row r="5" ht="15" customHeight="1" s="33">
      <c r="A5" s="32" t="inlineStr">
        <is>
          <t>Thứ tự làm: 0 Đọc hồ sơ → 1 Danh sách việc → 2 Mức tự động → 3 Bảng lộ trình → 4 Rà soát → 6 Tự kiểm tra. Trang 5 (slide lãnh đạo) làm ở nhà.</t>
        </is>
      </c>
    </row>
    <row r="6" ht="15" customHeight="1" s="33">
      <c r="A6" s="32" t="inlineStr">
        <is>
          <t>Số liệu kinh tế của đề đã điền sẵn ở trang 2, dòng 12–20. Không cần file của buổi nào khác: mọi dữ liệu cần dùng nằm trong hồ sơ tình huống, Đề 3.</t>
        </is>
      </c>
    </row>
    <row r="7" ht="15" customHeight="1" s="33">
      <c r="A7" s="32" t="inlineStr">
        <is>
          <t>Lộ trình theo GIẢ THUYẾT: mỗi hạng mục phải trả lời 'Ta tin rằng làm X sẽ giúp Y đạt Z; biết đúng khi chỉ số W đạt ngưỡng V'.</t>
        </is>
      </c>
    </row>
    <row r="8" ht="15" customHeight="1" s="33">
      <c r="A8" s="32" t="inlineStr">
        <is>
          <t>Tên file nộp: [Nhom]_CS13.xlsx · Nộp bản có Nhiệm vụ 1–4 lên VLearn trước 18:00 ngày 16/10. Trang 5 (Nhiệm vụ 5, làm ở nhà) nộp trước 23:59 ngày 19/10.</t>
        </is>
      </c>
    </row>
    <row r="9" ht="15" customHeight="1" s="33">
      <c r="A9" s="32" t="inlineStr">
        <is>
          <t>Tuân thủ: Luật Trí tuệ nhân tạo số 134/2025/QH15 (hiệu lực 01/3/2026) chia hệ thống AI thành 3 mức rủi ro và yêu cầu người dùng được thông tin khi tương tác với AI. Đọc văn bản gốc trước khi ghi vào bài.</t>
        </is>
      </c>
    </row>
    <row r="11" ht="15" customHeight="1" s="33">
      <c r="A11" s="32" t="inlineStr">
        <is>
          <t>Chú thích màu:</t>
        </is>
      </c>
    </row>
    <row r="12" ht="15" customHeight="1" s="33">
      <c r="A12" s="36" t="inlineStr">
        <is>
          <t>Ô điền giả định (không khóa)</t>
        </is>
      </c>
    </row>
    <row r="13" ht="15" customHeight="1" s="33">
      <c r="A13" s="37" t="inlineStr">
        <is>
          <t>Ô công thức (tự tính, đã khóa)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2" min="1" max="1"/>
    <col width="14" customWidth="1" style="32" min="2" max="2"/>
    <col width="46" customWidth="1" style="32" min="3" max="4"/>
    <col width="36" customWidth="1" style="32" min="5" max="5"/>
  </cols>
  <sheetData>
    <row r="1" ht="17.25" customHeight="1" s="33">
      <c r="A1" s="34" t="inlineStr">
        <is>
          <t>0 · Nhiệm vụ 0: đọc hồ sơ tình huống, Đề 3 (5 phút)</t>
        </is>
      </c>
    </row>
    <row r="2" ht="15" customHeight="1" s="33">
      <c r="A2" s="35" t="inlineStr">
        <is>
          <t>Cả nhóm đọc cùng một hồ sơ trước khi điền. Nhiệm vụ 0 không tính điểm; đánh dấu "Có" khi cả nhóm đã đọc mục đó.</t>
        </is>
      </c>
    </row>
    <row r="4" ht="26.25" customHeight="1" s="33">
      <c r="A4" s="38" t="inlineStr">
        <is>
          <t>Mục trong hồ sơ tình huống</t>
        </is>
      </c>
      <c r="B4" s="38" t="inlineStr">
        <is>
          <t>Nhóm đã đọc chưa?</t>
        </is>
      </c>
      <c r="C4" s="38" t="inlineStr">
        <is>
          <t>Dùng ở đâu trong file</t>
        </is>
      </c>
      <c r="D4" s="38" t="inlineStr">
        <is>
          <t>Lưu ý</t>
        </is>
      </c>
      <c r="E4" s="38" t="inlineStr">
        <is>
          <t>Ghi chú của nhóm</t>
        </is>
      </c>
    </row>
    <row r="5" ht="33.75" customHeight="1" s="33">
      <c r="A5" s="39" t="inlineStr">
        <is>
          <t>Số liệu kinh tế của đề (9 dòng)</t>
        </is>
      </c>
      <c r="B5" s="40" t="inlineStr">
        <is>
          <t>Có</t>
        </is>
      </c>
      <c r="C5" s="39" t="inlineStr">
        <is>
          <t>Đã điền sẵn ở trang 2, dòng 12–20: chi phí mỗi việc, biên lợi nhuận, điều kiện dừng</t>
        </is>
      </c>
      <c r="D5" s="39" t="inlineStr">
        <is>
          <t>Đọc để hiểu; không cần chép</t>
        </is>
      </c>
      <c r="E5" s="40" t="inlineStr">
        <is>
          <t>Đã nắm 9 thông số kinh tế: Chi phí AI 2.968 đ, Hạ tầng 1.200 đ, DS duyệt 3 phút (150k/h), DT 15tr/khoa (1.200 ca), rủi ro dừng tháng 3, hết tiền tháng 9.</t>
        </is>
      </c>
    </row>
    <row r="6" ht="33.75" customHeight="1" s="33">
      <c r="A6" s="39" t="inlineStr">
        <is>
          <t>Bối cảnh, sản phẩm, "1 việc" là gì</t>
        </is>
      </c>
      <c r="B6" s="40" t="inlineStr">
        <is>
          <t>Có</t>
        </is>
      </c>
      <c r="C6" s="39" t="inlineStr">
        <is>
          <t>Giả thuyết và chỉ số ở trang 1</t>
        </is>
      </c>
      <c r="D6" s="39" t="inlineStr">
        <is>
          <t>Viết giả thuyết theo đúng "1 việc" của đề</t>
        </is>
      </c>
      <c r="E6" s="40" t="inlineStr">
        <is>
          <t>1 việc = 1 bản nháp tóm tắt ra viện cho 1 người bệnh. Khoa nội BV tư ~40 BN ra viện/ngày. Bác sĩ mất 15-20 phút/ca, luôn đọc và ký 100% bản nháp.</t>
        </is>
      </c>
    </row>
    <row r="7" ht="33.75" customHeight="1" s="33">
      <c r="A7" s="39" t="inlineStr">
        <is>
          <t>6 việc gợi ý</t>
        </is>
      </c>
      <c r="B7" s="40" t="inlineStr">
        <is>
          <t>Có</t>
        </is>
      </c>
      <c r="C7" s="39" t="inlineStr">
        <is>
          <t>Trang 1, cột B–C; nhóm được thêm việc của mình</t>
        </is>
      </c>
      <c r="D7" s="39" t="inlineStr">
        <is>
          <t>Giữ, bỏ hay đổi thứ tự đều phải ghi lý do ở cột Q</t>
        </is>
      </c>
      <c r="E7" s="40" t="inlineStr">
        <is>
          <t>Phân tích 6 việc gợi ý: Ưu tiên số 1 là đối chiếu thuốc và sửa lỗi insulin (Việc 2); Việc 6 không làm vì BV đã có sẵn phần mềm chuyên dụng mã hoá bệnh.</t>
        </is>
      </c>
    </row>
    <row r="8" ht="33.75" customHeight="1" s="33">
      <c r="A8" s="39" t="inlineStr">
        <is>
          <t>Kết quả đánh giá đã có (bộ đề, cổng phát hành)</t>
        </is>
      </c>
      <c r="B8" s="40" t="inlineStr">
        <is>
          <t>Có</t>
        </is>
      </c>
      <c r="C8" s="39" t="inlineStr">
        <is>
          <t>Cổng đánh giá ở trang 2; việc cần làm trước ở trang 3</t>
        </is>
      </c>
      <c r="D8" s="39" t="inlineStr">
        <is>
          <t>Đề 2, 3: kết luận chưa phải "Phát hành" → có việc phải làm trước</t>
        </is>
      </c>
      <c r="E8" s="40" t="inlineStr">
        <is>
          <t>Bản mới CHƯA PHÁT HÀNH do 1 lỗi nghiêm trọng liều insulin (đổi tối sang sáng). Phải thêm 5 ca insulin vào bộ đề và đạt 0 lỗi mới được vào thử nghiệm.</t>
        </is>
      </c>
    </row>
    <row r="9" ht="33.75" customHeight="1" s="33">
      <c r="A9" s="39" t="inlineStr">
        <is>
          <t>Chuyên gia và số giờ của họ</t>
        </is>
      </c>
      <c r="B9" s="40" t="inlineStr">
        <is>
          <t>Có</t>
        </is>
      </c>
      <c r="C9" s="39" t="inlineStr">
        <is>
          <t>Dòng "Điều kiện cần" ở trang 3; ô "Cần gì" ở trang 5</t>
        </is>
      </c>
      <c r="D9" s="39" t="inlineStr">
        <is>
          <t>Dẫn đúng số giờ trong hồ sơ</t>
        </is>
      </c>
      <c r="E9" s="40" t="inlineStr">
        <is>
          <t>BS Phương (18 năm KN) và DS Hải (7 năm KN). Bộ đề 40 ca tốn 20,3 giờ chuyên gia. Giờ BS rất ít nên tách riêng phần kiểm tra thuốc cho DS Hải.</t>
        </is>
      </c>
    </row>
    <row r="10" ht="33.75" customHeight="1" s="33">
      <c r="A10" s="39" t="inlineStr">
        <is>
          <t>Gợi ý về người duyệt và mức tự động</t>
        </is>
      </c>
      <c r="B10" s="40" t="inlineStr">
        <is>
          <t>Có</t>
        </is>
      </c>
      <c r="C10" s="39" t="inlineStr">
        <is>
          <t>Trang 2, cột H và I</t>
        </is>
      </c>
      <c r="D10" s="39" t="inlineStr">
        <is>
          <t>Đề 3: bác sĩ của bệnh viện không tính vào chi phí</t>
        </is>
      </c>
      <c r="E10" s="40" t="inlineStr">
        <is>
          <t>Bác sĩ BV luôn đọc và ký (không tính phí). DS lâm sàng của mình kiểm tra phần thuốc 3 phút/bản (150k/h). Mức 3 không làm do ràng buộc an toàn y tế.</t>
        </is>
      </c>
    </row>
    <row r="12" ht="15" customHeight="1" s="33">
      <c r="A12" s="41" t="inlineStr">
        <is>
          <t>Số mục nhóm đã đọc</t>
        </is>
      </c>
      <c r="B12" s="37">
        <f>COUNTIF(B5:B10,"Có")</f>
        <v/>
      </c>
    </row>
    <row r="13" ht="15" customHeight="1" s="33">
      <c r="A13" s="35" t="inlineStr">
        <is>
          <t>Đủ 6/6 thì sang Nhiệm vụ 1.</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30" customWidth="1" style="32" min="2" max="2"/>
    <col width="28" customWidth="1" style="32" min="3" max="3"/>
    <col width="38" customWidth="1" style="32" min="4" max="4"/>
    <col width="32" customWidth="1" style="32" min="5" max="5"/>
    <col width="8" customWidth="1" style="32" min="6" max="7"/>
    <col width="11" customWidth="1" style="32" min="8" max="8"/>
    <col width="8" customWidth="1" style="32" min="9" max="9"/>
    <col width="11" customWidth="1" style="32" min="10" max="10"/>
    <col width="10" customWidth="1" style="32" min="11" max="11"/>
    <col width="13" customWidth="1" style="32" min="12" max="12"/>
    <col width="10" customWidth="1" style="32" min="13" max="14"/>
    <col width="12" customWidth="1" style="32" min="15" max="15"/>
    <col width="14" customWidth="1" style="32" min="16" max="16"/>
    <col width="58" customWidth="1" style="32" min="17" max="17"/>
  </cols>
  <sheetData>
    <row r="1" ht="17.25" customHeight="1" s="33">
      <c r="A1" s="34" t="inlineStr">
        <is>
          <t>1 · Danh sách việc và chấm điểm ưu tiên</t>
        </is>
      </c>
    </row>
    <row r="2" ht="15" customHeight="1" s="33">
      <c r="A2" s="35" t="inlineStr">
        <is>
          <t>Điểm = Độ phủ × Tác động × Mức tự tin ÷ Công sức × (0,5 + 0,5 × sẵn sàng trung bình của dữ liệu và đánh giá) × (1 − 0,5 × rủi ro bị 'nuốt')</t>
        </is>
      </c>
    </row>
    <row r="4" ht="39" customHeight="1" s="33">
      <c r="A4" s="42" t="inlineStr">
        <is>
          <t>STT</t>
        </is>
      </c>
      <c r="B4" s="42" t="inlineStr">
        <is>
          <t>Việc</t>
        </is>
      </c>
      <c r="C4" s="42" t="inlineStr">
        <is>
          <t>Kết quả muốn đạt</t>
        </is>
      </c>
      <c r="D4" s="42" t="inlineStr">
        <is>
          <t>Giả thuyết (Ta tin rằng…)</t>
        </is>
      </c>
      <c r="E4" s="42" t="inlineStr">
        <is>
          <t>Chỉ số thành công và ngưỡng</t>
        </is>
      </c>
      <c r="F4" s="42" t="inlineStr">
        <is>
          <t>Độ phủ 1–5</t>
        </is>
      </c>
      <c r="G4" s="42" t="inlineStr">
        <is>
          <t>Tác động 1–5</t>
        </is>
      </c>
      <c r="H4" s="42" t="inlineStr">
        <is>
          <t>Mức tự tin 0,5 / 0,8 / 1</t>
        </is>
      </c>
      <c r="I4" s="42" t="inlineStr">
        <is>
          <t>Công sức 1–5</t>
        </is>
      </c>
      <c r="J4" s="42" t="inlineStr">
        <is>
          <t>Sẵn sàng dữ liệu 0–1</t>
        </is>
      </c>
      <c r="K4" s="42" t="inlineStr">
        <is>
          <t>Sẵn sàng đánh giá 0–1</t>
        </is>
      </c>
      <c r="L4" s="42" t="inlineStr">
        <is>
          <t>Rủi ro bị nuốt 0–1</t>
        </is>
      </c>
      <c r="M4" s="42" t="inlineStr">
        <is>
          <t>ĐIỂM</t>
        </is>
      </c>
      <c r="N4" s="42" t="inlineStr">
        <is>
          <t>Xếp hạng</t>
        </is>
      </c>
      <c r="O4" s="42" t="inlineStr">
        <is>
          <t>Chỉ số có con số?</t>
        </is>
      </c>
      <c r="P4" s="42" t="inlineStr">
        <is>
          <t>Tự làm / Mua / Chờ / Không làm</t>
        </is>
      </c>
      <c r="Q4" s="42" t="inlineStr">
        <is>
          <t>Lý do (đổi thứ tự, chọn mua hay chờ…)</t>
        </is>
      </c>
    </row>
    <row r="5" ht="34.5" customHeight="1" s="33">
      <c r="A5" s="43" t="n">
        <v>1</v>
      </c>
      <c r="B5" s="40" t="inlineStr">
        <is>
          <t>Soạn nháp diễn biến và chẩn đoán từ hồ sơ</t>
        </is>
      </c>
      <c r="C5" s="40" t="inlineStr">
        <is>
          <t>Bác sĩ bớt 2/3 thời gian viết tóm tắt</t>
        </is>
      </c>
      <c r="D5" s="40" t="inlineStr">
        <is>
          <t>Ta tin rằng việc tự động trích xuất và soạn nháp diễn biến bệnh, chẩn đoán từ hồ sơ bệnh án điện tử (EMR) sẽ giúp bác sĩ nội khoa giảm 2/3 thời gian làm tóm tắt ra viện; biết đúng khi thời gian bác sĩ hoàn thiện 1 bản tóm tắt giảm từ 18 phút xuống dưới 6 phút.</t>
        </is>
      </c>
      <c r="E5" s="40" t="inlineStr">
        <is>
          <t>Thời gian bác sĩ hoàn thiện bản tóm tắt giảm 65% (từ 18 phút xuống ≤ 6 phút); tỷ lệ bác sĩ chấp nhận nội dung nháp không cần sửa lớn đạt ≥ 75% trên 100 ca thử nghiệm.</t>
        </is>
      </c>
      <c r="F5" s="40" t="n">
        <v>5</v>
      </c>
      <c r="G5" s="40" t="n">
        <v>5</v>
      </c>
      <c r="H5" s="40" t="n">
        <v>0.8</v>
      </c>
      <c r="I5" s="40" t="n">
        <v>3</v>
      </c>
      <c r="J5" s="40" t="n">
        <v>0.8</v>
      </c>
      <c r="K5" s="40" t="n">
        <v>0.8</v>
      </c>
      <c r="L5" s="40" t="n">
        <v>0.3</v>
      </c>
      <c r="M5" s="44">
        <f>IF(COUNT(F5:L5)&lt;7,"",ROUND(F5*G5*H5/I5*(0.5+0.5*AVERAGE(J5:K5))*(1-0.5*L5),2))</f>
        <v/>
      </c>
      <c r="N5" s="44">
        <f>IF(M5="","",RANK(M5,$M$5:$M$14))</f>
        <v/>
      </c>
      <c r="O5" s="45">
        <f>IF(B5="","",IF(OR(D5="",E5=""),"Thiếu",IF(SUMPRODUCT(--ISNUMBER(SEARCH({"0","1","2","3","4","5","6","7","8","9"},E5)))&gt;0,"Có","Thiếu")))</f>
        <v/>
      </c>
      <c r="P5" s="46" t="inlineStr">
        <is>
          <t>Tự làm</t>
        </is>
      </c>
      <c r="Q5" s="46" t="inlineStr">
        <is>
          <t>Tính năng cốt lõi tạo giá trị giải phóng thời gian cho bác sĩ, cần tự làm để làm chủ chất lượng trích xuất lâm sàng.</t>
        </is>
      </c>
    </row>
    <row r="6" ht="23.25" customHeight="1" s="33">
      <c r="A6" s="43" t="n">
        <v>2</v>
      </c>
      <c r="B6" s="40" t="inlineStr">
        <is>
          <t>Đối chiếu thuốc ra viện với y lệnh cuối</t>
        </is>
      </c>
      <c r="C6" s="40" t="inlineStr">
        <is>
          <t>Không sai thuốc khi ra viện</t>
        </is>
      </c>
      <c r="D6" s="40" t="inlineStr">
        <is>
          <t>Ta tin rằng việc tự động đối chiếu chéo danh mục thuốc ra viện với y lệnh nội trú cuối cùng và đơn ngoại trú sẽ giúp loại bỏ hoàn toàn sai lệch thuốc; biết đúng khi tỷ lệ sai sót thuốc bằng 0 lỗi trên 1.200 ca/tháng.</t>
        </is>
      </c>
      <c r="E6" s="40" t="inlineStr">
        <is>
          <t>Tỷ lệ sai sót liều và tên thuốc bằng 0 lỗi trên bộ đề 45 ca (bao gồm 5 ca insulin thêm mới); 0 lỗi thuốc nghiêm trọng lọt đến bác sĩ trong 3 tháng thử nghiệm.</t>
        </is>
      </c>
      <c r="F6" s="40" t="n">
        <v>5</v>
      </c>
      <c r="G6" s="40" t="n">
        <v>5</v>
      </c>
      <c r="H6" s="40" t="n">
        <v>0.8</v>
      </c>
      <c r="I6" s="40" t="n">
        <v>2</v>
      </c>
      <c r="J6" s="40" t="n">
        <v>0.9</v>
      </c>
      <c r="K6" s="40" t="n">
        <v>0.9</v>
      </c>
      <c r="L6" s="40" t="n">
        <v>0.1</v>
      </c>
      <c r="M6" s="44">
        <f>IF(COUNT(F6:L6)&lt;7,"",ROUND(F6*G6*H6/I6*(0.5+0.5*AVERAGE(J6:K6))*(1-0.5*L6),2))</f>
        <v/>
      </c>
      <c r="N6" s="44">
        <f>IF(M6="","",RANK(M6,$M$5:$M$14))</f>
        <v/>
      </c>
      <c r="O6" s="45">
        <f>IF(B6="","",IF(OR(D6="",E6=""),"Thiếu",IF(SUMPRODUCT(--ISNUMBER(SEARCH({"0","1","2","3","4","5","6","7","8","9"},E6)))&gt;0,"Có","Thiếu")))</f>
        <v/>
      </c>
      <c r="P6" s="46" t="inlineStr">
        <is>
          <t>Tự làm</t>
        </is>
      </c>
      <c r="Q6" s="46" t="inlineStr">
        <is>
          <t>Ưu tiên hàng đầu (Rank 1): xử lý triệt để lỗi nghiêm trọng đổi liều insulin để đủ điều kiện mở cổng thử nghiệm lâm sàng.</t>
        </is>
      </c>
    </row>
    <row r="7" ht="23.25" customHeight="1" s="33">
      <c r="A7" s="43" t="n">
        <v>3</v>
      </c>
      <c r="B7" s="40" t="inlineStr">
        <is>
          <t>Đánh dấu hồ sơ mâu thuẫn cho bác sĩ</t>
        </is>
      </c>
      <c r="C7" s="40" t="inlineStr">
        <is>
          <t>Ca khó không bị viết như ca thường</t>
        </is>
      </c>
      <c r="D7" s="40" t="inlineStr">
        <is>
          <t>Ta tin rằng việc tự động phát hiện và gắn cờ các điểm mâu thuẫn giữa cận lâm sàng và diễn biến bệnh sẽ giúp bác sĩ chú ý ca khó; biết đúng khi phát hiện được ≥ 95% ca bệnh phức tạp mà tỷ lệ cờ thừa &lt; 10%.</t>
        </is>
      </c>
      <c r="E7" s="40" t="inlineStr">
        <is>
          <t>Độ nhạy phát hiện hồ sơ có mâu thuẫn cận lâm sàng đạt ≥ 95%; tỷ lệ gắn cờ cảnh báo thừa (false positive) ≤ 10% trên 100 ca tầng Khó và Nguy hiểm.</t>
        </is>
      </c>
      <c r="F7" s="40" t="n">
        <v>3</v>
      </c>
      <c r="G7" s="40" t="n">
        <v>4</v>
      </c>
      <c r="H7" s="40" t="n">
        <v>0.8</v>
      </c>
      <c r="I7" s="40" t="n">
        <v>3</v>
      </c>
      <c r="J7" s="40" t="n">
        <v>0.7</v>
      </c>
      <c r="K7" s="40" t="n">
        <v>0.8</v>
      </c>
      <c r="L7" s="40" t="n">
        <v>0.2</v>
      </c>
      <c r="M7" s="44">
        <f>IF(COUNT(F7:L7)&lt;7,"",ROUND(F7*G7*H7/I7*(0.5+0.5*AVERAGE(J7:K7))*(1-0.5*L7),2))</f>
        <v/>
      </c>
      <c r="N7" s="44">
        <f>IF(M7="","",RANK(M7,$M$5:$M$14))</f>
        <v/>
      </c>
      <c r="O7" s="45">
        <f>IF(B7="","",IF(OR(D7="",E7=""),"Thiếu",IF(SUMPRODUCT(--ISNUMBER(SEARCH({"0","1","2","3","4","5","6","7","8","9"},E7)))&gt;0,"Có","Thiếu")))</f>
        <v/>
      </c>
      <c r="P7" s="46" t="inlineStr">
        <is>
          <t>Tự làm</t>
        </is>
      </c>
      <c r="Q7" s="46" t="inlineStr">
        <is>
          <t>Hỗ trợ phân luồng ca bệnh phức tạp để dược sĩ và bác sĩ tập trung kiểm tra chuyên sâu.</t>
        </is>
      </c>
    </row>
    <row r="8" ht="23.25" customHeight="1" s="33">
      <c r="A8" s="43" t="n">
        <v>4</v>
      </c>
      <c r="B8" s="40" t="inlineStr">
        <is>
          <t>Lời dặn dễ hiểu cho người bệnh</t>
        </is>
      </c>
      <c r="C8" s="40" t="inlineStr">
        <is>
          <t>Người bệnh làm đúng lời dặn</t>
        </is>
      </c>
      <c r="D8" s="40" t="inlineStr">
        <is>
          <t>Ta tin rằng việc chuyển ngữ các chỉ định y khoa chuyên sâu thành ngôn ngữ đại chúng, rõ ràng về liều và giờ uống sẽ giúp người bệnh tuân thủ điều trị; biết đúng khi tỷ lệ bệnh nhân thực hiện đúng lời dặn đạt ≥ 85%.</t>
        </is>
      </c>
      <c r="E8" s="40" t="inlineStr">
        <is>
          <t>Tỷ lệ người bệnh tuân thủ đúng lời dặn tái khám và dùng thuốc đạt ≥ 85%; điểm đánh giá mức độ dễ hiểu đạt ≥ 4,5/5 qua khảo sát 50 người bệnh xuất viện.</t>
        </is>
      </c>
      <c r="F8" s="40" t="n">
        <v>4</v>
      </c>
      <c r="G8" s="40" t="n">
        <v>3</v>
      </c>
      <c r="H8" s="40" t="n">
        <v>0.8</v>
      </c>
      <c r="I8" s="40" t="n">
        <v>2</v>
      </c>
      <c r="J8" s="40" t="n">
        <v>0.8</v>
      </c>
      <c r="K8" s="40" t="n">
        <v>0.6</v>
      </c>
      <c r="L8" s="40" t="n">
        <v>0.3</v>
      </c>
      <c r="M8" s="44">
        <f>IF(COUNT(F8:L8)&lt;7,"",ROUND(F8*G8*H8/I8*(0.5+0.5*AVERAGE(J8:K8))*(1-0.5*L8),2))</f>
        <v/>
      </c>
      <c r="N8" s="44">
        <f>IF(M8="","",RANK(M8,$M$5:$M$14))</f>
        <v/>
      </c>
      <c r="O8" s="45">
        <f>IF(B8="","",IF(OR(D8="",E8=""),"Thiếu",IF(SUMPRODUCT(--ISNUMBER(SEARCH({"0","1","2","3","4","5","6","7","8","9"},E8)))&gt;0,"Có","Thiếu")))</f>
        <v/>
      </c>
      <c r="P8" s="46" t="inlineStr">
        <is>
          <t>Tự làm</t>
        </is>
      </c>
      <c r="Q8" s="46" t="inlineStr">
        <is>
          <t>Tăng cường giá trị hướng tới người bệnh, triển khai ở pha 2 sau khi hoàn thiện phần lâm sàng.</t>
        </is>
      </c>
    </row>
    <row r="9" ht="23.25" customHeight="1" s="33">
      <c r="A9" s="43" t="n">
        <v>5</v>
      </c>
      <c r="B9" s="40" t="inlineStr">
        <is>
          <t>Tóm tắt hồ sơ khi chuyển khoa</t>
        </is>
      </c>
      <c r="C9" s="40" t="inlineStr">
        <is>
          <t>Khoa nhận nắm ca nhanh hơn</t>
        </is>
      </c>
      <c r="D9" s="40" t="inlineStr">
        <is>
          <t>Ta tin rằng việc tự động cô đọng hồ sơ bệnh án thành bản bàn giao chuyển khoa sẽ giúp bác sĩ khoa tiếp nhận nắm ca bệnh dưới 5 phút; biết đúng khi thời gian bàn giao bệnh nhân giảm 50% từ 10 phút xuống còn 5 phút.</t>
        </is>
      </c>
      <c r="E9" s="40" t="inlineStr">
        <is>
          <t>Thời gian bàn giao ca chuyển khoa giảm 50% (còn ≤ 5 phút); độ chính xác thông tin bàn giao đạt ≥ 95% trên 30 ca chuyển khoa.</t>
        </is>
      </c>
      <c r="F9" s="40" t="n">
        <v>2</v>
      </c>
      <c r="G9" s="40" t="n">
        <v>3</v>
      </c>
      <c r="H9" s="40" t="n">
        <v>0.5</v>
      </c>
      <c r="I9" s="40" t="n">
        <v>4</v>
      </c>
      <c r="J9" s="40" t="n">
        <v>0.5</v>
      </c>
      <c r="K9" s="40" t="n">
        <v>0.2</v>
      </c>
      <c r="L9" s="40" t="n">
        <v>0.4</v>
      </c>
      <c r="M9" s="44">
        <f>IF(COUNT(F9:L9)&lt;7,"",ROUND(F9*G9*H9/I9*(0.5+0.5*AVERAGE(J9:K9))*(1-0.5*L9),2))</f>
        <v/>
      </c>
      <c r="N9" s="44">
        <f>IF(M9="","",RANK(M9,$M$5:$M$14))</f>
        <v/>
      </c>
      <c r="O9" s="45">
        <f>IF(B9="","",IF(OR(D9="",E9=""),"Thiếu",IF(SUMPRODUCT(--ISNUMBER(SEARCH({"0","1","2","3","4","5","6","7","8","9"},E9)))&gt;0,"Có","Thiếu")))</f>
        <v/>
      </c>
      <c r="P9" s="46" t="inlineStr">
        <is>
          <t>Chờ</t>
        </is>
      </c>
      <c r="Q9" s="46" t="inlineStr">
        <is>
          <t>Đề bài ghi rõ "Chưa có bộ đề cho ca chuyển khoa"; cần chờ phối hợp liên khoa xây dựng bộ đề trước khi phát triển.</t>
        </is>
      </c>
    </row>
    <row r="10" ht="23.25" customHeight="1" s="33">
      <c r="A10" s="43" t="n">
        <v>6</v>
      </c>
      <c r="B10" s="40" t="inlineStr">
        <is>
          <t>Mã hoá bệnh cho thanh toán bảo hiểm</t>
        </is>
      </c>
      <c r="C10" s="40" t="inlineStr">
        <is>
          <t>Bớt giờ của phòng kế hoạch</t>
        </is>
      </c>
      <c r="D10" s="40" t="inlineStr">
        <is>
          <t>Ta tin rằng việc tự động gợi ý mã ICD-10 từ chẩn đoán tóm tắt ra viện sẽ giúp giảm thời gian rà soát hồ sơ bảo hiểm y tế; biết đúng khi thời gian mã hóa giảm 40% trên 500 hồ sơ.</t>
        </is>
      </c>
      <c r="E10" s="40" t="inlineStr">
        <is>
          <t>Độ chính xác gợi ý mã ICD-10 đạt ≥ 90%; giảm 40% thời gian rà soát mã hóa thanh toán bảo hiểm.</t>
        </is>
      </c>
      <c r="F10" s="40" t="n">
        <v>4</v>
      </c>
      <c r="G10" s="40" t="n">
        <v>2</v>
      </c>
      <c r="H10" s="40" t="n">
        <v>0.5</v>
      </c>
      <c r="I10" s="40" t="n">
        <v>4</v>
      </c>
      <c r="J10" s="40" t="n">
        <v>0.6</v>
      </c>
      <c r="K10" s="40" t="n">
        <v>0.5</v>
      </c>
      <c r="L10" s="40" t="n">
        <v>0.9</v>
      </c>
      <c r="M10" s="44">
        <f>IF(COUNT(F10:L10)&lt;7,"",ROUND(F10*G10*H10/I10*(0.5+0.5*AVERAGE(J10:K10))*(1-0.5*L10),2))</f>
        <v/>
      </c>
      <c r="N10" s="44">
        <f>IF(M10="","",RANK(M10,$M$5:$M$14))</f>
        <v/>
      </c>
      <c r="O10" s="45">
        <f>IF(B10="","",IF(OR(D10="",E10=""),"Thiếu",IF(SUMPRODUCT(--ISNUMBER(SEARCH({"0","1","2","3","4","5","6","7","8","9"},E10)))&gt;0,"Có","Thiếu")))</f>
        <v/>
      </c>
      <c r="P10" s="46" t="inlineStr">
        <is>
          <t>Không làm</t>
        </is>
      </c>
      <c r="Q10" s="46" t="inlineStr">
        <is>
          <t>Bệnh viện đã có sẵn phần mềm chuyên dụng mã hoá bệnh cho bảo hiểm; rủi ro bị nuốt rất cao (0,9), tránh trùng lặp tính năng.</t>
        </is>
      </c>
    </row>
    <row r="11" ht="15" customHeight="1" s="33">
      <c r="A11" s="43" t="n">
        <v>7</v>
      </c>
      <c r="B11" s="40" t="n"/>
      <c r="C11" s="40" t="n"/>
      <c r="D11" s="40" t="n"/>
      <c r="E11" s="40" t="n"/>
      <c r="F11" s="40" t="n"/>
      <c r="G11" s="40" t="n"/>
      <c r="H11" s="40" t="n"/>
      <c r="I11" s="40" t="n"/>
      <c r="J11" s="40" t="n"/>
      <c r="K11" s="40" t="n"/>
      <c r="L11" s="40" t="n"/>
      <c r="M11" s="44">
        <f>IF(COUNT(F11:L11)&lt;7,"",ROUND(F11*G11*H11/I11*(0.5+0.5*AVERAGE(J11:K11))*(1-0.5*L11),2))</f>
        <v/>
      </c>
      <c r="N11" s="44">
        <f>IF(M11="","",RANK(M11,$M$5:$M$14))</f>
        <v/>
      </c>
      <c r="O11" s="45">
        <f>IF(B11="","",IF(OR(D11="",E11=""),"Thiếu",IF(SUMPRODUCT(--ISNUMBER(SEARCH({"0","1","2","3","4","5","6","7","8","9"},E11)))&gt;0,"Có","Thiếu")))</f>
        <v/>
      </c>
      <c r="P11" s="46" t="n"/>
      <c r="Q11" s="46" t="n"/>
    </row>
    <row r="12" ht="15" customHeight="1" s="33">
      <c r="A12" s="43" t="n">
        <v>8</v>
      </c>
      <c r="B12" s="40" t="n"/>
      <c r="C12" s="40" t="n"/>
      <c r="D12" s="40" t="n"/>
      <c r="E12" s="40" t="n"/>
      <c r="F12" s="40" t="n"/>
      <c r="G12" s="40" t="n"/>
      <c r="H12" s="40" t="n"/>
      <c r="I12" s="40" t="n"/>
      <c r="J12" s="40" t="n"/>
      <c r="K12" s="40" t="n"/>
      <c r="L12" s="40" t="n"/>
      <c r="M12" s="44">
        <f>IF(COUNT(F12:L12)&lt;7,"",ROUND(F12*G12*H12/I12*(0.5+0.5*AVERAGE(J12:K12))*(1-0.5*L12),2))</f>
        <v/>
      </c>
      <c r="N12" s="44">
        <f>IF(M12="","",RANK(M12,$M$5:$M$14))</f>
        <v/>
      </c>
      <c r="O12" s="45">
        <f>IF(B12="","",IF(OR(D12="",E12=""),"Thiếu",IF(SUMPRODUCT(--ISNUMBER(SEARCH({"0","1","2","3","4","5","6","7","8","9"},E12)))&gt;0,"Có","Thiếu")))</f>
        <v/>
      </c>
      <c r="P12" s="46" t="n"/>
      <c r="Q12" s="46" t="n"/>
    </row>
    <row r="13" ht="15" customHeight="1" s="33">
      <c r="A13" s="43" t="n">
        <v>9</v>
      </c>
      <c r="B13" s="40" t="n"/>
      <c r="C13" s="40" t="n"/>
      <c r="D13" s="40" t="n"/>
      <c r="E13" s="40" t="n"/>
      <c r="F13" s="40" t="n"/>
      <c r="G13" s="40" t="n"/>
      <c r="H13" s="40" t="n"/>
      <c r="I13" s="40" t="n"/>
      <c r="J13" s="40" t="n"/>
      <c r="K13" s="40" t="n"/>
      <c r="L13" s="40" t="n"/>
      <c r="M13" s="44">
        <f>IF(COUNT(F13:L13)&lt;7,"",ROUND(F13*G13*H13/I13*(0.5+0.5*AVERAGE(J13:K13))*(1-0.5*L13),2))</f>
        <v/>
      </c>
      <c r="N13" s="44">
        <f>IF(M13="","",RANK(M13,$M$5:$M$14))</f>
        <v/>
      </c>
      <c r="O13" s="45">
        <f>IF(B13="","",IF(OR(D13="",E13=""),"Thiếu",IF(SUMPRODUCT(--ISNUMBER(SEARCH({"0","1","2","3","4","5","6","7","8","9"},E13)))&gt;0,"Có","Thiếu")))</f>
        <v/>
      </c>
      <c r="P13" s="46" t="n"/>
      <c r="Q13" s="46" t="n"/>
    </row>
    <row r="14" ht="15" customHeight="1" s="33">
      <c r="A14" s="43" t="n">
        <v>10</v>
      </c>
      <c r="B14" s="40" t="n"/>
      <c r="C14" s="40" t="n"/>
      <c r="D14" s="40" t="n"/>
      <c r="E14" s="40" t="n"/>
      <c r="F14" s="40" t="n"/>
      <c r="G14" s="40" t="n"/>
      <c r="H14" s="40" t="n"/>
      <c r="I14" s="40" t="n"/>
      <c r="J14" s="40" t="n"/>
      <c r="K14" s="40" t="n"/>
      <c r="L14" s="40" t="n"/>
      <c r="M14" s="44">
        <f>IF(COUNT(F14:L14)&lt;7,"",ROUND(F14*G14*H14/I14*(0.5+0.5*AVERAGE(J14:K14))*(1-0.5*L14),2))</f>
        <v/>
      </c>
      <c r="N14" s="44">
        <f>IF(M14="","",RANK(M14,$M$5:$M$14))</f>
        <v/>
      </c>
      <c r="O14" s="45">
        <f>IF(B14="","",IF(OR(D14="",E14=""),"Thiếu",IF(SUMPRODUCT(--ISNUMBER(SEARCH({"0","1","2","3","4","5","6","7","8","9"},E14)))&gt;0,"Có","Thiếu")))</f>
        <v/>
      </c>
      <c r="P14" s="46" t="n"/>
      <c r="Q14" s="46" t="n"/>
    </row>
  </sheetData>
  <sheetProtection selectLockedCells="0" selectUnlockedCells="0" sheet="1" objects="0" insertRows="1" insertHyperlinks="1" autoFilter="1" scenarios="0" formatColumns="0" deleteColumns="1" insertColumns="1" pivotTables="1" deleteRows="1" formatCells="1" formatRows="0" sort="1"/>
  <dataValidations count="4">
    <dataValidation sqref="F5:G14 I5:I14" showDropDown="0" showInputMessage="0" showErrorMessage="1" allowBlank="1" errorTitle="Ngoài thang điểm" error="Nhập số nguyên từ 1 đến 5." type="whole" errorStyle="stop" operator="between">
      <formula1>1</formula1>
      <formula2>5</formula2>
    </dataValidation>
    <dataValidation sqref="H5:H14" showDropDown="0" showInputMessage="0" showErrorMessage="1" allowBlank="1" errorTitle="Mức tự tin" error="Dùng 0,5 (đoán), 0,8 (có dấu hiệu) hoặc 1 (có số liệu)." type="decimal" errorStyle="stop" operator="between">
      <formula1>0.5</formula1>
      <formula2>1</formula2>
    </dataValidation>
    <dataValidation sqref="J5:L14" showDropDown="0" showInputMessage="0" showErrorMessage="1" allowBlank="1" errorTitle="Ngoài thang 0–1" error="Nhập số từ 0 đến 1, ví dụ 0,6." type="decimal" errorStyle="stop" operator="between">
      <formula1>0</formula1>
      <formula2>1</formula2>
    </dataValidation>
    <dataValidation sqref="P5:P14" showDropDown="0" showInputMessage="0" showErrorMessage="0" allowBlank="1" type="list" errorStyle="stop" operator="between">
      <formula1>"Tự làm,Mua,Chờ,Không làm"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2" min="1" max="1"/>
    <col width="20" customWidth="1" style="32" min="2" max="2"/>
    <col width="34" customWidth="1" style="32" min="3" max="3"/>
    <col width="30" customWidth="1" style="32" min="4" max="4"/>
    <col width="44" customWidth="1" style="32" min="5" max="5"/>
    <col width="36" customWidth="1" style="32" min="6" max="6"/>
    <col width="12" customWidth="1" style="32" min="7" max="8"/>
    <col width="18" customWidth="1" style="32" min="9" max="9"/>
    <col width="14" customWidth="1" style="32" min="10" max="10"/>
    <col width="12" customWidth="1" style="32" min="11" max="11"/>
    <col width="13" customWidth="1" style="32" min="12" max="12"/>
    <col width="11" customWidth="1" style="32" min="13" max="13"/>
  </cols>
  <sheetData>
    <row r="1" ht="17.25" customHeight="1" s="33">
      <c r="A1" s="34" t="inlineStr">
        <is>
          <t>2 · Lộ trình tăng dần mức tự động và cổng đánh giá</t>
        </is>
      </c>
    </row>
    <row r="2" ht="15" customHeight="1" s="33">
      <c r="A2" s="35" t="inlineStr">
        <is>
          <t>Mỗi lần lên mức phải qua một cổng đánh giá bằng con số. Chưa qua cổng thì chưa lên mức, dù đã đến ngày. Mức tự động quyết định chi phí mỗi việc: xem cột H–L.</t>
        </is>
      </c>
    </row>
    <row r="4" ht="26.25" customHeight="1" s="33">
      <c r="A4" s="42" t="inlineStr">
        <is>
          <t>Mức</t>
        </is>
      </c>
      <c r="B4" s="42" t="inlineStr">
        <is>
          <t>Tên mức</t>
        </is>
      </c>
      <c r="C4" s="42" t="inlineStr">
        <is>
          <t>AI làm gì</t>
        </is>
      </c>
      <c r="D4" s="42" t="inlineStr">
        <is>
          <t>Người làm gì</t>
        </is>
      </c>
      <c r="E4" s="42" t="inlineStr">
        <is>
          <t>Cổng đánh giá để lên mức này (chỉ số + ngưỡng + cỡ mẫu)</t>
        </is>
      </c>
      <c r="F4" s="42" t="inlineStr">
        <is>
          <t>Dữ liệu / hạ tầng / tuân thủ cần có</t>
        </is>
      </c>
      <c r="G4" s="42" t="inlineStr">
        <is>
          <t>Dự kiến (kế hoạch nội bộ, không phải cam kết)</t>
        </is>
      </c>
      <c r="H4" s="42" t="inlineStr">
        <is>
          <t>% việc có người duyệt</t>
        </is>
      </c>
      <c r="I4" s="42" t="inlineStr">
        <is>
          <t>Ai duyệt</t>
        </is>
      </c>
      <c r="J4" s="42" t="inlineStr">
        <is>
          <t>Chi phí mỗi việc (đ)</t>
        </is>
      </c>
      <c r="K4" s="42" t="inlineStr">
        <is>
          <t>Biên lợi nhuận gộp</t>
        </is>
      </c>
      <c r="L4" s="42" t="inlineStr">
        <is>
          <t>Biên ≥ 60%?</t>
        </is>
      </c>
      <c r="M4" s="42" t="inlineStr">
        <is>
          <t>Cổng có con số?</t>
        </is>
      </c>
    </row>
    <row r="5" ht="48" customHeight="1" s="33">
      <c r="A5" s="43" t="n">
        <v>0</v>
      </c>
      <c r="B5" s="40" t="inlineStr">
        <is>
          <t>Gợi ý</t>
        </is>
      </c>
      <c r="C5" s="40" t="inlineStr">
        <is>
          <t>Trích xuất thông tin cận lâm sàng, chẩn đoán sơ bộ từ EMR và gợi ý dàn ý bản tóm tắt ra viện.</t>
        </is>
      </c>
      <c r="D5" s="40" t="inlineStr">
        <is>
          <t>Bác sĩ tự viết toàn bộ nội dung, tự tra cứu thuốc và liều lượng; DS lâm sàng chưa tham gia quy trình.</t>
        </is>
      </c>
      <c r="E5" s="40" t="inlineStr">
        <is>
          <t>Tỷ lệ trích xuất đúng trường dữ liệu ≥ 90% trên 30 hồ sơ bệnh án nội bộ.</t>
        </is>
      </c>
      <c r="F5" s="40" t="inlineStr">
        <is>
          <t>Kết nối cổng API EMR nội bộ, phân quyền đọc dữ liệu, tuân thủ Luật An toàn thông tin mạng và Luật AI 134/2025.</t>
        </is>
      </c>
      <c r="G5" s="40" t="inlineStr">
        <is>
          <t>Tháng 1</t>
        </is>
      </c>
      <c r="H5" s="47" t="n">
        <v>0</v>
      </c>
      <c r="I5" s="46" t="inlineStr">
        <is>
          <t>Người của mình</t>
        </is>
      </c>
      <c r="J5" s="48">
        <f>IF(H5="","",$B$12+$B$13+IF(I5="Người của mình",H5*$B$14*$B$15/60,0))</f>
        <v/>
      </c>
      <c r="K5" s="49">
        <f>IF(J5="","",IFERROR(($B$16-$B$17*J5)/$B$16,""))</f>
        <v/>
      </c>
      <c r="L5" s="50">
        <f>IF(K5="","",IF(K5&gt;=0.6,"Đạt","Dưới ngưỡng"))</f>
        <v/>
      </c>
    </row>
    <row r="6" ht="48" customHeight="1" s="33">
      <c r="A6" s="43" t="n">
        <v>1</v>
      </c>
      <c r="B6" s="40" t="inlineStr">
        <is>
          <t>Hỗ trợ có duyệt</t>
        </is>
      </c>
      <c r="C6" s="40" t="inlineStr">
        <is>
          <t>Soạn nháp toàn văn bản tóm tắt ra viện; tự động đối chiếu thuốc ra viện với y lệnh nội trú cuối cùng.</t>
        </is>
      </c>
      <c r="D6" s="40" t="inlineStr">
        <is>
          <t>Dược sĩ lâm sàng công ty kiểm tra 20% bản nháp (ca insulin &amp; thuốc nguy cơ); bác sĩ bệnh viện đọc, sửa và ký 100%.</t>
        </is>
      </c>
      <c r="E6" s="40" t="inlineStr">
        <is>
          <t>Tỷ lệ đạt quy về thực tế ≥ 95%, 0 lỗi nghiêm trọng (đặc biệt 0 lỗi liều insulin), 0 tầng tụt, Kappa ≥ 0,80 trên bộ đề mở rộng 45 ca (thêm 5 ca insulin).</t>
        </is>
      </c>
      <c r="F6" s="40" t="inlineStr">
        <is>
          <t>Bộ đề 45 ca bệnh án chuẩn hóa; 20,3 giờ thẩm định của BS Phương và DS Hải; hệ thống ghi log kiểm toán y khoa.</t>
        </is>
      </c>
      <c r="G6" s="40" t="inlineStr">
        <is>
          <t>Tháng 2 – Tháng 3 (Thử nghiệm 3 tháng tại Khoa Nội)</t>
        </is>
      </c>
      <c r="H6" s="47" t="n">
        <v>0.2</v>
      </c>
      <c r="I6" s="46" t="inlineStr">
        <is>
          <t>Người của mình</t>
        </is>
      </c>
      <c r="J6" s="48">
        <f>IF(H6="","",$B$12+$B$13+IF(I6="Người của mình",H6*$B$14*$B$15/60,0))</f>
        <v/>
      </c>
      <c r="K6" s="49">
        <f>IF(J6="","",IFERROR(($B$16-$B$17*J6)/$B$16,""))</f>
        <v/>
      </c>
      <c r="L6" s="50">
        <f>IF(K6="","",IF(K6&gt;=0.6,"Đạt","Dưới ngưỡng"))</f>
        <v/>
      </c>
      <c r="M6" s="50">
        <f>IF(E6="","",IF(SUMPRODUCT(--ISNUMBER(SEARCH({"0","1","2","3","4","5","6","7","8","9"},E6)))&gt;0,"Có","Thiếu"))</f>
        <v/>
      </c>
    </row>
    <row r="7" ht="48" customHeight="1" s="33">
      <c r="A7" s="43" t="n">
        <v>2</v>
      </c>
      <c r="B7" s="40" t="inlineStr">
        <is>
          <t>Tự động một phần</t>
        </is>
      </c>
      <c r="C7" s="40" t="inlineStr">
        <is>
          <t>Tự động soạn nháp hoàn chỉnh, gắn cờ cảnh báo hồ sơ mâu thuẫn và tạo lời dặn dò dễ hiểu cho người bệnh.</t>
        </is>
      </c>
      <c r="D7" s="40" t="inlineStr">
        <is>
          <t>Dược sĩ lâm sàng công ty giảm tỷ lệ duyệt xuống 10% (chỉ duyệt ca có cờ mâu thuẫn thuốc); bác sĩ bệnh viện luôn đọc và ký 100%.</t>
        </is>
      </c>
      <c r="E7" s="40" t="inlineStr">
        <is>
          <t>Tỷ lệ đạt ≥ 96% trên 200 ca thực tế; 0 lỗi thuốc nghiêm trọng lọt đến bác sĩ; tỷ lệ bản nháp bác sĩ phải sửa nhiều &lt; 15% trong 30 ngày liên tiếp.</t>
        </is>
      </c>
      <c r="F7" s="40" t="inlineStr">
        <is>
          <t>Hạ tầng phân tích cờ bất thường thời gian thực; cơ chế lưu vết chữ ký số và cảnh báo tự động trên EMR.</t>
        </is>
      </c>
      <c r="G7" s="40" t="inlineStr">
        <is>
          <t>Tháng 4 – Tháng 6</t>
        </is>
      </c>
      <c r="H7" s="47" t="n">
        <v>0.1</v>
      </c>
      <c r="I7" s="46" t="inlineStr">
        <is>
          <t>Người của mình</t>
        </is>
      </c>
      <c r="J7" s="48">
        <f>IF(H7="","",$B$12+$B$13+IF(I7="Người của mình",H7*$B$14*$B$15/60,0))</f>
        <v/>
      </c>
      <c r="K7" s="49">
        <f>IF(J7="","",IFERROR(($B$16-$B$17*J7)/$B$16,""))</f>
        <v/>
      </c>
      <c r="L7" s="50">
        <f>IF(K7="","",IF(K7&gt;=0.6,"Đạt","Dưới ngưỡng"))</f>
        <v/>
      </c>
      <c r="M7" s="50">
        <f>IF(E7="","",IF(SUMPRODUCT(--ISNUMBER(SEARCH({"0","1","2","3","4","5","6","7","8","9"},E7)))&gt;0,"Có","Thiếu"))</f>
        <v/>
      </c>
    </row>
    <row r="8" ht="48" customHeight="1" s="33">
      <c r="A8" s="43" t="n">
        <v>3</v>
      </c>
      <c r="B8" s="40" t="inlineStr">
        <is>
          <t>Tự động có giám sát</t>
        </is>
      </c>
      <c r="C8" s="40" t="inlineStr">
        <is>
          <t>Không làm (Luật AI 134/2025/QH15 và quy định y tế bắt buộc bác sĩ chịu trách nhiệm chuyên môn và ký 100% hồ sơ xuất viện).</t>
        </is>
      </c>
      <c r="D8" s="40" t="inlineStr">
        <is>
          <t>Không làm (Không bao giờ để AI tự động gửi tóm tắt ra viện và đơn thuốc cho người bệnh mà không có chữ ký bác sĩ).</t>
        </is>
      </c>
      <c r="E8" s="40" t="inlineStr">
        <is>
          <t>Không áp dụng mức tự động hoàn toàn trong y tế lâm sàng.</t>
        </is>
      </c>
      <c r="F8" s="40" t="inlineStr">
        <is>
          <t>Không làm</t>
        </is>
      </c>
      <c r="G8" s="40" t="inlineStr">
        <is>
          <t>Không làm</t>
        </is>
      </c>
      <c r="H8" s="47" t="n"/>
      <c r="I8" s="46" t="inlineStr">
        <is>
          <t>Người của mình</t>
        </is>
      </c>
      <c r="J8" s="48">
        <f>IF(H8="","",$B$12+$B$13+IF(I8="Người của mình",H8*$B$14*$B$15/60,0))</f>
        <v/>
      </c>
      <c r="K8" s="49">
        <f>IF(J8="","",IFERROR(($B$16-$B$17*J8)/$B$16,""))</f>
        <v/>
      </c>
      <c r="L8" s="50">
        <f>IF(K8="","",IF(K8&gt;=0.6,"Đạt","Dưới ngưỡng"))</f>
        <v/>
      </c>
      <c r="M8" s="50">
        <f>IF(E8="","",IF(SUMPRODUCT(--ISNUMBER(SEARCH({"0","1","2","3","4","5","6","7","8","9"},E8)))&gt;0,"Có","Thiếu"))</f>
        <v/>
      </c>
    </row>
    <row r="11" ht="15" customHeight="1" s="33">
      <c r="A11" s="41" t="inlineStr">
        <is>
          <t>SỐ LIỆU KINH TẾ CỦA ĐỀ (đã điền sẵn từ hồ sơ tình huống; sửa được nếu nhóm có lý do)</t>
        </is>
      </c>
    </row>
    <row r="12" ht="15" customHeight="1" s="33">
      <c r="A12" s="51" t="inlineStr">
        <is>
          <t>Chi phí gọi AI / việc (đã tính gọi lại)</t>
        </is>
      </c>
      <c r="B12" s="52" t="n">
        <v>2968</v>
      </c>
      <c r="C12" s="53" t="inlineStr">
        <is>
          <t>Hồ sơ, bảng Số liệu kinh tế, dòng 1</t>
        </is>
      </c>
    </row>
    <row r="13" ht="15" customHeight="1" s="33">
      <c r="A13" s="51" t="inlineStr">
        <is>
          <t>Hạ tầng + đánh giá + khác / việc</t>
        </is>
      </c>
      <c r="B13" s="52" t="n">
        <v>1200</v>
      </c>
      <c r="C13" s="53" t="inlineStr">
        <is>
          <t>dòng 2</t>
        </is>
      </c>
    </row>
    <row r="14" ht="15" customHeight="1" s="33">
      <c r="A14" s="51" t="inlineStr">
        <is>
          <t>Số phút người duyệt / việc</t>
        </is>
      </c>
      <c r="B14" s="54" t="n">
        <v>3</v>
      </c>
      <c r="C14" s="53" t="inlineStr">
        <is>
          <t>dòng 3</t>
        </is>
      </c>
    </row>
    <row r="15" ht="15" customHeight="1" s="33">
      <c r="A15" s="51" t="inlineStr">
        <is>
          <t>Chi phí 1 giờ người duyệt (đ)</t>
        </is>
      </c>
      <c r="B15" s="52" t="n">
        <v>150000</v>
      </c>
      <c r="C15" s="53" t="inlineStr">
        <is>
          <t>dòng 4</t>
        </is>
      </c>
    </row>
    <row r="16" ht="15" customHeight="1" s="33">
      <c r="A16" s="51" t="inlineStr">
        <is>
          <t>Doanh thu bình quân / khách / tháng (đ)</t>
        </is>
      </c>
      <c r="B16" s="52" t="n">
        <v>15000000</v>
      </c>
      <c r="C16" s="53" t="inlineStr">
        <is>
          <t>dòng 5</t>
        </is>
      </c>
    </row>
    <row r="17" ht="15" customHeight="1" s="33">
      <c r="A17" s="51" t="inlineStr">
        <is>
          <t>Số việc bình quân / khách / tháng</t>
        </is>
      </c>
      <c r="B17" s="52" t="n">
        <v>1200</v>
      </c>
      <c r="C17" s="53" t="inlineStr">
        <is>
          <t>dòng 6</t>
        </is>
      </c>
    </row>
    <row r="18" ht="15" customHeight="1" s="33">
      <c r="A18" s="51" t="inlineStr">
        <is>
          <t>Biến nguy hiểm nhất</t>
        </is>
      </c>
      <c r="B18" s="46" t="inlineStr">
        <is>
          <t>Tỷ lệ bản nháp bác sĩ phải sửa nhiều: quá 30% thì bác sĩ bỏ dùng</t>
        </is>
      </c>
      <c r="C18" s="53" t="inlineStr">
        <is>
          <t>dòng 7</t>
        </is>
      </c>
    </row>
    <row r="19" ht="15" customHeight="1" s="33">
      <c r="A19" s="51" t="inlineStr">
        <is>
          <t>Điều kiện dừng đã chọn (theo đề)</t>
        </is>
      </c>
      <c r="B19" s="46" t="inlineStr">
        <is>
          <t>Hết tháng 3 thử nghiệm: bác sĩ phải sửa nhiều trên 30% bản nháp, hoặc có 1 lỗi thuốc lọt đến người bệnh, THÌ dừng, không mở sang khoa khác</t>
        </is>
      </c>
      <c r="C19" s="53" t="inlineStr">
        <is>
          <t>dòng 8</t>
        </is>
      </c>
    </row>
    <row r="20" ht="15" customHeight="1" s="33">
      <c r="A20" s="51" t="inlineStr">
        <is>
          <t>Kịch bản xấu hết tiền ở tháng</t>
        </is>
      </c>
      <c r="B20" s="55" t="n">
        <v>9</v>
      </c>
      <c r="C20" s="53" t="inlineStr">
        <is>
          <t>dòng 9</t>
        </is>
      </c>
    </row>
    <row r="22" ht="15" customHeight="1" s="33">
      <c r="A22" s="53" t="inlineStr">
        <is>
          <t>Ghi chú: bác sĩ của bệnh viện luôn đọc và ký, không tính vào chi phí của mình. Người duyệt của mình là dược sĩ kiểm tra phần thuốc. Mức 3 có thể ghi "Không làm".</t>
        </is>
      </c>
    </row>
    <row r="23" ht="15" customHeight="1" s="33">
      <c r="A23" s="53" t="n"/>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I5:I8" showDropDown="0" showInputMessage="0" showErrorMessage="0" allowBlank="1" type="list" errorStyle="stop" operator="between">
      <formula1>"Người của mình,Nhân viên cửa hàng"</formula1>
      <formula2>0</formula2>
    </dataValidation>
    <dataValidation sqref="H5:H8" showDropDown="0" showInputMessage="0" showErrorMessage="0" allowBlank="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42" customWidth="1" style="32" min="2" max="4"/>
  </cols>
  <sheetData>
    <row r="1" ht="17.25" customHeight="1" s="33">
      <c r="A1" s="34" t="inlineStr">
        <is>
          <t>3 · Bảng lộ trình theo giả thuyết: Bây giờ / Tiếp theo / Sau này</t>
        </is>
      </c>
    </row>
    <row r="2" ht="15" customHeight="1" s="33">
      <c r="A2" s="35" t="inlineStr">
        <is>
          <t>Bây giờ = cam kết (0–3 tháng) · Tiếp theo = định hướng (3–6 tháng) · Sau này = khám phá (6–12 tháng). Càng xa càng ít chi tiết.</t>
        </is>
      </c>
    </row>
    <row r="4" ht="15" customHeight="1" s="33">
      <c r="A4" s="42" t="inlineStr">
        <is>
          <t>Dòng</t>
        </is>
      </c>
      <c r="B4" s="42" t="inlineStr">
        <is>
          <t>Bây giờ (0–3 tháng)</t>
        </is>
      </c>
      <c r="C4" s="42" t="inlineStr">
        <is>
          <t>Tiếp theo (3–6 tháng)</t>
        </is>
      </c>
      <c r="D4" s="42" t="inlineStr">
        <is>
          <t>Sau này (6–12 tháng)</t>
        </is>
      </c>
    </row>
    <row r="5" ht="48" customHeight="1" s="33">
      <c r="A5" s="56" t="inlineStr">
        <is>
          <t>Việc chính (lấy từ trang 1)</t>
        </is>
      </c>
      <c r="B5" s="40" t="inlineStr">
        <is>
          <t>Sửa lỗi nghiêm trọng insulin, đối chiếu thuốc ra viện với y lệnh cuối (Việc 2); hoàn thiện soạn nháp diễn biến &amp; chẩn đoán (Việc 1).</t>
        </is>
      </c>
      <c r="C5" s="40" t="inlineStr">
        <is>
          <t>Đánh dấu hồ sơ mâu thuẫn cho bác sĩ (Việc 3); chuẩn hóa lời dặn dễ hiểu cho người bệnh (Việc 4).</t>
        </is>
      </c>
      <c r="D5" s="40" t="inlineStr">
        <is>
          <t>Xây dựng bộ đề thử nghiệm và triển khai tóm tắt hồ sơ khi chuyển khoa (Việc 5); mở rộng sang các khoa nội khác.</t>
        </is>
      </c>
    </row>
    <row r="6" ht="48" customHeight="1" s="33">
      <c r="A6" s="56" t="inlineStr">
        <is>
          <t>Giả thuyết</t>
        </is>
      </c>
      <c r="B6" s="40" t="inlineStr">
        <is>
          <t>Ta tin rằng việc bổ sung 5 ca insulin vào bộ đề và đối chiếu y lệnh cuối sẽ loại bỏ hoàn toàn lỗi nghiêm trọng liều thuốc; biết đúng khi tỷ lệ đạt quy về thực tế ≥ 95% và 0 lỗi nghiêm trọng.</t>
        </is>
      </c>
      <c r="C6" s="40" t="inlineStr">
        <is>
          <t>Ta tin rằng cảnh báo hồ sơ mâu thuẫn và lời dặn dễ hiểu sẽ giúp bác sĩ an tâm giảm thời gian sửa nháp; biết đúng khi tỷ lệ bác sĩ sửa nhiều &lt; 15% và tỷ lệ tuân thủ dặn dò của bệnh nhân ≥ 85%.</t>
        </is>
      </c>
      <c r="D6" s="40" t="inlineStr">
        <is>
          <t>Ta tin rằng mở rộng tóm tắt chuyển khoa sẽ rút ngắn 50% thời gian bàn giao bệnh nhân giữa các khoa nội trú; biết đúng khi thời gian bàn giao giảm từ 10 phút xuống dưới 5 phút trên 50 ca.</t>
        </is>
      </c>
    </row>
    <row r="7" ht="48" customHeight="1" s="33">
      <c r="A7" s="56" t="inlineStr">
        <is>
          <t>Chỉ số thành công và ngưỡng</t>
        </is>
      </c>
      <c r="B7" s="40" t="inlineStr">
        <is>
          <t>0 lỗi nghiêm trọng về thuốc trên bộ đề 45 ca; tỷ lệ đạt quy về thực tế ≥ 95%; tỷ lệ bản nháp bác sĩ phải sửa nhiều &lt; 25% trong tháng đầu thử nghiệm.</t>
        </is>
      </c>
      <c r="C7" s="40" t="inlineStr">
        <is>
          <t>Tỷ lệ bác sĩ phải sửa nhiều &lt; 15%; độ nhạy phát hiện mâu thuẫn hồ sơ ≥ 95%; đánh giá mức độ hài lòng của người bệnh về lời dặn ≥ 4,5/5 điểm.</t>
        </is>
      </c>
      <c r="D7" s="40" t="inlineStr">
        <is>
          <t>Thời gian bàn giao ca chuyển khoa giảm 50% (còn ≤ 5 phút); độ chính xác thông tin tóm tắt chuyển khoa ≥ 95%; mở rộng thành công thêm 2 khoa nội mới.</t>
        </is>
      </c>
    </row>
    <row r="8" ht="48" customHeight="1" s="33">
      <c r="A8" s="56" t="inlineStr">
        <is>
          <t>Mức tự động (trang 2)</t>
        </is>
      </c>
      <c r="B8" s="40" t="inlineStr">
        <is>
          <t>Mức 1 (Hỗ trợ có duyệt): Dược sĩ lâm sàng công ty duyệt 20% bản nháp (tập trung ca dùng insulin và thuốc nguy cơ cao), bác sĩ bệnh viện luôn đọc và ký 100%.</t>
        </is>
      </c>
      <c r="C8" s="40" t="inlineStr">
        <is>
          <t>Mức 2 (Tự động một phần): Dược sĩ lâm sàng giảm tỷ lệ duyệt xuống 10% (chỉ duyệt ca gắn cờ cảnh báo bất thường), bác sĩ bệnh viện ký 100%.</t>
        </is>
      </c>
      <c r="D8" s="40" t="inlineStr">
        <is>
          <t>Duy trì Mức 2 có kiểm toán định kỳ (Auditing 5% ngẫu nhiên); Mức 3 không áp dụng vì tuân thủ đạo đức y khoa và Luật AI 134/2025/QH15.</t>
        </is>
      </c>
    </row>
    <row r="9" ht="48" customHeight="1" s="33">
      <c r="A9" s="56" t="inlineStr">
        <is>
          <t>Cổng đánh giá</t>
        </is>
      </c>
      <c r="B9" s="40" t="inlineStr">
        <is>
          <t>Bộ đề 45 ca đạt tỷ lệ quy về thực tế ≥ 95%, 0 lỗi nghiêm trọng, 0 tầng tụt, Kappa chuyên gia ≥ 0,80 trước khi đưa vào thử nghiệm lâm sàng.</t>
        </is>
      </c>
      <c r="C9" s="40" t="inlineStr">
        <is>
          <t>Thử nghiệm thực tế 3 tháng trên 3.600 ca: tỷ lệ sửa nhiều &lt; 15%, 0 lỗi thuốc lọt đến bệnh nhân, Kappa giữa BS và AI ≥ 0,85.</t>
        </is>
      </c>
      <c r="D9" s="40" t="inlineStr">
        <is>
          <t>Nghiên cứu đánh giá lâm sàng độc lập (Clinical trial nội bộ) trên 500 ca chuyển khoa đạt tỷ lệ sai sót thông tin bàn giao &lt; 2%.</t>
        </is>
      </c>
    </row>
    <row r="10" ht="48" customHeight="1" s="33">
      <c r="A10" s="56" t="inlineStr">
        <is>
          <t>Điều kiện cần: dữ liệu / hạ tầng / tuân thủ</t>
        </is>
      </c>
      <c r="B10" s="40" t="inlineStr">
        <is>
          <t>Bổ sung 5 ca insulin vào bộ đề; 20,3 giờ thẩm định của BS Phương và DS Hải; tích hợp an toàn API EMR nội bộ, ẩn danh hóa dữ liệu bệnh nhân; tuân thủ Luật AI 134/2025/QH15.</t>
        </is>
      </c>
      <c r="C10" s="40" t="inlineStr">
        <is>
          <t>3 tháng dữ liệu phản hồi sửa nháp của bác sĩ; bảng đối chiếu thuật ngữ y khoa - đời thường cho lời dặn; ngân sách 150.000 đ/giờ cho DS lâm sàng duyệt ca gắn cờ.</t>
        </is>
      </c>
      <c r="D10" s="40" t="inlineStr">
        <is>
          <t>Xây dựng bộ đề chuẩn hóa 40 ca chuyển khoa với bác sĩ các khoa phối hợp (Ngoại, Hồi sức cấp cứu); hạ tầng đồng bộ dữ liệu liên khoa trên HIS/EMR.</t>
        </is>
      </c>
    </row>
    <row r="11" ht="48" customHeight="1" s="33">
      <c r="A11" s="56" t="inlineStr">
        <is>
          <t>Căn cứ kinh tế (số liệu của đề và trang 2)</t>
        </is>
      </c>
      <c r="B11" s="40" t="inlineStr">
        <is>
          <t>Chi phí AI 2.968 đ + Hạ tầng 1.200 đ; DS duyệt 20% tốn 1.500 đ -&gt; Tổng chi phí 5.668 đ/việc; Doanh thu 12.500 đ/việc (15 triệu đ/khoa/tháng cho 1.200 việc); Biên lợi nhuận gộp 54,7%.</t>
        </is>
      </c>
      <c r="C11" s="40" t="inlineStr">
        <is>
          <t>Tỷ lệ DS duyệt giảm còn 10% (750 đ/việc) -&gt; Tổng chi phí giảm còn 4.918 đ/việc; Biên lợi nhuận gộp tăng lên 60,7% (đạt mục tiêu ≥ 60% của đề).</t>
        </is>
      </c>
      <c r="D11" s="40" t="inlineStr">
        <is>
          <t>Biên lợi nhuận duy trì &gt; 60%; mở rộng thêm 2 khoa nội giúp doanh thu đạt 45 triệu đ/tháng; khấu hao chi phí hạ tầng cố định giúp giảm giá vốn thêm 10%.</t>
        </is>
      </c>
    </row>
    <row r="12" ht="48" customHeight="1" s="33">
      <c r="A12" s="56" t="inlineStr">
        <is>
          <t>Điều kiện dừng / đổi hướng</t>
        </is>
      </c>
      <c r="B12" s="40" t="inlineStr">
        <is>
          <t>NẾU hết 3 tháng thử nghiệm mà bác sĩ phải sửa nhiều trên 30% bản nháp, HOẶC có 1 lỗi thuốc lọt đến người bệnh, THÌ dừng dự án ngay, không mở sang khoa khác (nguy cơ hết tiền ở tháng 9).</t>
        </is>
      </c>
      <c r="C12" s="40" t="inlineStr">
        <is>
          <t>NẾU sau 6 tháng bệnh viện không ký hợp đồng chính thức hoặc đối thủ EMR tích hợp miễn phí tính năng tóm tắt, THÌ đổi hướng sang làm công cụ kiểm toán hồ sơ thuốc cho bảo hiểm.</t>
        </is>
      </c>
      <c r="D12" s="40" t="inlineStr">
        <is>
          <t>NẾU tỷ lệ sai sót bàn giao chuyển khoa vượt quá 5% hoặc chi phí tích hợp liên khoa vượt quá 50 triệu đ/khoa, THÌ dừng mở rộng tính năng chuyển khoa.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2" min="1" max="1"/>
    <col width="40" customWidth="1" style="32" min="2" max="3"/>
    <col width="28" customWidth="1" style="32" min="4" max="4"/>
  </cols>
  <sheetData>
    <row r="1" ht="17.25" customHeight="1" s="33">
      <c r="A1" s="34" t="inlineStr">
        <is>
          <t>4 · Lịch rà soát lộ trình</t>
        </is>
      </c>
    </row>
    <row r="2" ht="15" customHeight="1" s="33">
      <c r="A2" s="35" t="inlineStr">
        <is>
          <t>Rà soát theo lịch VÀ mỗi khi có sự kiện. Ở mốc 30/60/90 chọn 1 trong 4: đi tiếp, sửa, đổi hướng, dừng.</t>
        </is>
      </c>
    </row>
    <row r="4" ht="15" customHeight="1" s="33">
      <c r="A4" s="42" t="inlineStr">
        <is>
          <t>Mốc / sự kiện</t>
        </is>
      </c>
      <c r="B4" s="42" t="inlineStr">
        <is>
          <t>Nhìn vào chỉ số nào</t>
        </is>
      </c>
      <c r="C4" s="42" t="inlineStr">
        <is>
          <t>Quyết định có thể đưa ra</t>
        </is>
      </c>
      <c r="D4" s="42" t="inlineStr">
        <is>
          <t>Ai quyết</t>
        </is>
      </c>
    </row>
    <row r="5" ht="15" customHeight="1" s="33">
      <c r="A5" s="40" t="inlineStr">
        <is>
          <t>Ngày 30</t>
        </is>
      </c>
      <c r="B5" s="40" t="inlineStr">
        <is>
          <t>Tỷ lệ bác sĩ phải sửa nhiều bản nháp (ngưỡng an toàn &lt; 30%); Số lỗi thuốc nghiêm trọng phát hiện tại khâu bác sĩ ký (phải = 0).</t>
        </is>
      </c>
      <c r="C5" s="40" t="inlineStr">
        <is>
          <t>Nếu sửa nhiều &lt; 25% và 0 lỗi thuốc: Đi tiếp; Nếu sửa nhiều 25-30%: Sửa prompt và luật đối chiếu liều thuốc; Nếu có 1 lỗi thuốc lọt qua dược sĩ hoặc sửa nhiều &gt; 30%: Dừng thử nghiệm.</t>
        </is>
      </c>
      <c r="D5" s="40" t="inlineStr">
        <is>
          <t>BS. Phương (Trưởng khoa) và Trưởng nhóm Sản phẩm AI</t>
        </is>
      </c>
    </row>
    <row r="6" ht="15" customHeight="1" s="33">
      <c r="A6" s="40" t="inlineStr">
        <is>
          <t>Ngày 60</t>
        </is>
      </c>
      <c r="B6" s="40" t="inlineStr">
        <is>
          <t>Thời gian trung bình bác sĩ hoàn thiện bản tóm tắt (mục tiêu ≤ 6 phút, giảm &gt; 60%); Tỷ lệ dược sĩ duyệt can thiệp chỉnh sửa thuốc (mục tiêu giảm xuống &lt; 15%).</t>
        </is>
      </c>
      <c r="C6" s="40" t="inlineStr">
        <is>
          <t>Nếu đạt mục tiêu thời gian và tỷ lệ can thiệp giảm: Đi tiếp lên Mức 2 (giảm duyệt còn 10%); Nếu thời gian chưa giảm đủ: Sửa giao diện hiển thị tóm tắt; Nếu phản ánh tiêu cực kéo dài: Đổi hướng chỉ tập trung đối chiếu đơn thuốc.</t>
        </is>
      </c>
      <c r="D6" s="40" t="inlineStr">
        <is>
          <t>Hội đồng chuyên môn Bệnh viện (BS Phương + DS Hải) và Ban Giám đốc Y khoa</t>
        </is>
      </c>
    </row>
    <row r="7" ht="15" customHeight="1" s="33">
      <c r="A7" s="40" t="inlineStr">
        <is>
          <t>Ngày 90</t>
        </is>
      </c>
      <c r="B7" s="40" t="inlineStr">
        <is>
          <t>Tỷ lệ bác sĩ duy trì sử dụng hàng ngày (&gt; 90%); Ý định ký hợp đồng chính thức của bệnh viện (15 triệu đ/tháng); Tỷ lệ bản nháp sửa nhiều cả đợt 3 tháng (phải ≤ 30%).</t>
        </is>
      </c>
      <c r="C7" s="40" t="inlineStr">
        <is>
          <t>Nếu đạt điều kiện và bệnh viện đồng ý ký: Đi tiếp ký hợp đồng thương mại và mở rộng sang khoa nội khác; Nếu sửa nhiều &gt; 30% hoặc bệnh viện từ chối: Dừng theo điều kiện dừng đã cam kết để tránh hết tiền ở tháng 9.</t>
        </is>
      </c>
      <c r="D7" s="40" t="inlineStr">
        <is>
          <t>Ban Giám đốc Bệnh viện và Giám đốc Điều hành (CEO) công ty AI</t>
        </is>
      </c>
    </row>
    <row r="8" ht="15" customHeight="1" s="33">
      <c r="A8" s="40" t="inlineStr">
        <is>
          <t>Có mô hình mới / giá gọi AI giảm mạnh</t>
        </is>
      </c>
      <c r="B8" s="40" t="inlineStr">
        <is>
          <t>Giá token giảm &gt; 30% (từ mốc 2.968 đ/việc); Điểm benchmark y khoa (MedQA, tính năng reasoning) cao hơn mô hình hiện tại; Chi phí chạy lại bộ đề 45 ca.</t>
        </is>
      </c>
      <c r="C8" s="40" t="inlineStr">
        <is>
          <t>Chạy thử nghiệm ngầm song song (shadow testing) trên bộ đề 45 ca: nếu Kappa ≥ 0,90 và 0 lỗi nghiêm trọng thì Sửa chuyển sang mô hình mới để nâng biên lợi nhuận &gt; 70%; nếu không thì Đi tiếp mô hình cũ.</t>
        </is>
      </c>
      <c r="D8" s="40" t="inlineStr">
        <is>
          <t>Trưởng nhóm Kỹ thuật AI (AI Tech Lead)</t>
        </is>
      </c>
    </row>
    <row r="9" ht="15" customHeight="1" s="33">
      <c r="A9" s="40" t="inlineStr">
        <is>
          <t>Nền tảng hoặc đối thủ ra tính năng tương tự</t>
        </is>
      </c>
      <c r="B9" s="40" t="inlineStr">
        <is>
          <t>Nhà cung cấp HIS/EMR ra tính năng tóm tắt bệnh án tích hợp sẵn; Giá thành và độ chính xác chuyên khoa nội của đối thủ.</t>
        </is>
      </c>
      <c r="C9" s="40" t="inlineStr">
        <is>
          <t>Nếu HIS ra tính năng cơ bản: Đi tiếp tập trung vào tính năng chuyên sâu đối chiếu an toàn thuốc (dược lâm sàng) mà HIS không có; Nếu đối thủ cạnh tranh gay gắt: Đổi hướng liên minh tích hợp trực tiếp vào phần mềm HIS thành tiện ích mở rộng (add-on).</t>
        </is>
      </c>
      <c r="D9" s="40" t="inlineStr">
        <is>
          <t>Giám đốc Sản phẩm (CPO) và CEO</t>
        </is>
      </c>
    </row>
    <row r="10" ht="15" customHeight="1" s="33">
      <c r="A10" s="40" t="inlineStr">
        <is>
          <t>Quy định pháp lý thay đổi</t>
        </is>
      </c>
      <c r="B10" s="40" t="inlineStr">
        <is>
          <t>Quy chuẩn kỹ thuật theo Luật Trí tuệ nhân tạo số 134/2025/QH15 (hiệu lực 01/3/2026); Quy định của Bộ Y tế về hồ sơ bệnh án điện tử và chữ ký số.</t>
        </is>
      </c>
      <c r="C10" s="40" t="inlineStr">
        <is>
          <t>Cập nhật quy trình gắn nhãn "Văn bản do AI hỗ trợ soạn thảo" và lưu vết kiểm toán (audit log) để Đi tiếp tuân thủ pháp luật; nếu quy định siết chặt yêu cầu cấp phép thiết bị y tế thì Sửa quy trình để duy trì vai trò người duyệt 100%.</t>
        </is>
      </c>
      <c r="D10" s="40" t="inlineStr">
        <is>
          <t>Trưởng phòng Pháp chế và Giám đốc Y khoa</t>
        </is>
      </c>
    </row>
    <row r="12" ht="15" customHeight="1" s="33">
      <c r="A12" s="53" t="inlineStr">
        <is>
          <t>Ngày 90 chưa đo được giá trị vòng đời thật: khách mới dùng 3 tháng. Chỉ dùng chỉ số đã có đủ dữ liệu.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0" customWidth="1" style="32" min="2" max="2"/>
    <col width="8" customWidth="1" style="32" min="3" max="3"/>
    <col width="12" customWidth="1" style="32" min="4" max="4"/>
  </cols>
  <sheetData>
    <row r="1" ht="17.25" customHeight="1" s="33">
      <c r="A1" s="34" t="inlineStr">
        <is>
          <t>5 · Lộ trình 1 slide cho lãnh đạo</t>
        </is>
      </c>
    </row>
    <row r="2" ht="15" customHeight="1" s="33">
      <c r="A2" s="35" t="inlineStr">
        <is>
          <t>Kết luận trước. Không quá 60 chữ mỗi ô (cột C tự đếm).</t>
        </is>
      </c>
    </row>
    <row r="3" ht="15" customHeight="1" s="33">
      <c r="C3" s="57" t="inlineStr">
        <is>
          <t>Số chữ</t>
        </is>
      </c>
      <c r="D3" s="57" t="inlineStr">
        <is>
          <t>Đạt?</t>
        </is>
      </c>
    </row>
    <row r="4" ht="33.75" customHeight="1" s="33">
      <c r="A4" s="57" t="inlineStr">
        <is>
          <t>Kết luận (1 câu)</t>
        </is>
      </c>
      <c r="B4" s="40" t="inlineStr">
        <is>
          <t>RaViện cam kết sửa triệt để lỗi liều insulin, vượt cổng đánh giá 45 ca để triển khai thử nghiệm 3 tháng tại Khoa Nội, giảm 65% thời gian viết tóm tắt của bác sĩ và đạt biên lợi nhuận 60,7%.</t>
        </is>
      </c>
      <c r="C4" s="58">
        <f>IF(TRIM(B4)="",0,LEN(TRIM(B4))-LEN(SUBSTITUTE(TRIM(B4)," ",""))+1)</f>
        <v/>
      </c>
      <c r="D4" s="50">
        <f>IF(C4=0,"Trống",IF(C4&gt;60,"Quá 60 chữ","Đạt"))</f>
        <v/>
      </c>
    </row>
    <row r="5" ht="33.75" customHeight="1" s="33">
      <c r="A5" s="57" t="inlineStr">
        <is>
          <t>3 việc chính</t>
        </is>
      </c>
      <c r="B5" s="40" t="inlineStr">
        <is>
          <t>1. Sửa lỗi liều insulin và tự động đối chiếu thuốc với y lệnh cuối (0 lỗi nghiêm trọng). 2. Soạn nháp diễn biến, chẩn đoán giảm thời gian từ 18 xuống 6 phút. 3. Gắn cờ cảnh báo hồ sơ mâu thuẫn cho bác sĩ.</t>
        </is>
      </c>
      <c r="C5" s="58">
        <f>IF(TRIM(B5)="",0,LEN(TRIM(B5))-LEN(SUBSTITUTE(TRIM(B5)," ",""))+1)</f>
        <v/>
      </c>
      <c r="D5" s="50">
        <f>IF(C5=0,"Trống",IF(C5&gt;60,"Quá 60 chữ","Đạt"))</f>
        <v/>
      </c>
    </row>
    <row r="6" ht="33.75" customHeight="1" s="33">
      <c r="A6" s="57" t="inlineStr">
        <is>
          <t>Cần gì (người, tiền, dữ liệu)</t>
        </is>
      </c>
      <c r="B6" s="40" t="inlineStr">
        <is>
          <t>Cần 20,3 giờ chuyên môn của BS Phương và DS Hải thẩm định 45 ca; 1 Dược sĩ kiểm tra phần thuốc 3 phút/bản (150.000 đ/giờ); kết nối API bệnh án điện tử nội bộ tuân thủ Luật AI 134/2025.</t>
        </is>
      </c>
      <c r="C6" s="58">
        <f>IF(TRIM(B6)="",0,LEN(TRIM(B6))-LEN(SUBSTITUTE(TRIM(B6)," ",""))+1)</f>
        <v/>
      </c>
      <c r="D6" s="50">
        <f>IF(C6=0,"Trống",IF(C6&gt;60,"Quá 60 chữ","Đạt"))</f>
        <v/>
      </c>
    </row>
    <row r="7" ht="33.75" customHeight="1" s="33">
      <c r="A7" s="57" t="inlineStr">
        <is>
          <t>Rủi ro lớn nhất &amp; cách xử lý</t>
        </is>
      </c>
      <c r="B7" s="40" t="inlineStr">
        <is>
          <t>Rủi ro lớn nhất: Bác sĩ phải sửa nhiều (&gt;30%) hoặc sai sót thuốc lọt ra ngoài khiến dự án dừng ở tháng 3, hết tiền ở tháng 9. Xử lý: Dược sĩ kiểm tra kép phần thuốc, bác sĩ ký 100% bản nháp.</t>
        </is>
      </c>
      <c r="C7" s="58">
        <f>IF(TRIM(B7)="",0,LEN(TRIM(B7))-LEN(SUBSTITUTE(TRIM(B7)," ",""))+1)</f>
        <v/>
      </c>
      <c r="D7" s="50">
        <f>IF(C7=0,"Trống",IF(C7&gt;60,"Quá 60 chữ","Đạt"))</f>
        <v/>
      </c>
    </row>
    <row r="8" ht="33.75" customHeight="1" s="33">
      <c r="A8" s="57" t="inlineStr">
        <is>
          <t>Khi nào xem lại</t>
        </is>
      </c>
      <c r="B8" s="40" t="inlineStr">
        <is>
          <t>Rà soát ngày 30 và 60 về tỷ lệ sửa nháp; ngày 90 quyết định ký hợp đồng thương mại 15 triệu/tháng và mở rộng khoa; rà soát ngay khi có mô hình AI rẻ hơn hoặc HIS ra tính năng mới.</t>
        </is>
      </c>
      <c r="C8" s="58">
        <f>IF(TRIM(B8)="",0,LEN(TRIM(B8))-LEN(SUBSTITUTE(TRIM(B8)," ",""))+1)</f>
        <v/>
      </c>
      <c r="D8" s="50">
        <f>IF(C8=0,"Trống",IF(C8&gt;60,"Quá 60 chữ","Đạt"))</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6" customWidth="1" style="32" min="1" max="1"/>
    <col width="14" customWidth="1" style="32" min="2" max="3"/>
  </cols>
  <sheetData>
    <row r="1" ht="17.25" customHeight="1" s="33">
      <c r="A1" s="34" t="inlineStr">
        <is>
          <t>6 · Tự kiểm tra</t>
        </is>
      </c>
    </row>
    <row r="2" ht="15" customHeight="1" s="33">
      <c r="A2" s="35" t="inlineStr">
        <is>
          <t>Chưa 'Đạt' thì quay lại sửa trước khi nộp file.</t>
        </is>
      </c>
    </row>
    <row r="4" ht="15" customHeight="1" s="33">
      <c r="A4" s="42" t="inlineStr">
        <is>
          <t>Điểm kiểm tra</t>
        </is>
      </c>
      <c r="B4" s="42" t="inlineStr">
        <is>
          <t>Kết quả</t>
        </is>
      </c>
      <c r="C4" s="42" t="inlineStr">
        <is>
          <t>Đạt?</t>
        </is>
      </c>
    </row>
    <row r="5" ht="15" customHeight="1" s="33">
      <c r="A5" s="43" t="inlineStr">
        <is>
          <t>Số việc đã chấm điểm (cần ≥ 5)</t>
        </is>
      </c>
      <c r="B5" s="44">
        <f>COUNT('1_Danh sách việc'!M5:M14)</f>
        <v/>
      </c>
      <c r="C5" s="44">
        <f>IF(B5&gt;=5,"Đạt","Xem lại")</f>
        <v/>
      </c>
    </row>
    <row r="6" ht="15" customHeight="1" s="33">
      <c r="A6" s="43" t="inlineStr">
        <is>
          <t>Việc được giữ lại mà thiếu giả thuyết hoặc chỉ số có con số (cần = 0)</t>
        </is>
      </c>
      <c r="B6" s="44">
        <f>COUNTIFS('1_Danh sách việc'!O5:O14,"Thiếu",'1_Danh sách việc'!P5:P14,"&lt;&gt;Không làm")</f>
        <v/>
      </c>
      <c r="C6" s="44">
        <f>IF(B5=0,"",IF(B6=0,"Đạt","Xem lại"))</f>
        <v/>
      </c>
    </row>
    <row r="7" ht="15" customHeight="1" s="33">
      <c r="A7" s="43" t="inlineStr">
        <is>
          <t>Số mức tự động có cổng đánh giá kèm con số (cần ≥ 2, không tính Mức 0)</t>
        </is>
      </c>
      <c r="B7" s="44">
        <f>COUNTIF('2_Mức tự động'!M6:M8,"Có")</f>
        <v/>
      </c>
      <c r="C7" s="44">
        <f>IF(B7&gt;=2,"Đạt","Xem lại")</f>
        <v/>
      </c>
    </row>
    <row r="8" ht="15" customHeight="1" s="33">
      <c r="A8" s="43" t="inlineStr">
        <is>
          <t>Bảng lộ trình: số ô tầng 'Bây giờ' đã điền (cần 8/8)</t>
        </is>
      </c>
      <c r="B8" s="44">
        <f>COUNTA('3_Bảng lộ trình'!B5:B12)</f>
        <v/>
      </c>
      <c r="C8" s="44">
        <f>IF(B8=8,"Đạt","Xem lại")</f>
        <v/>
      </c>
    </row>
    <row r="9" ht="15" customHeight="1" s="33">
      <c r="A9" s="43" t="inlineStr">
        <is>
          <t>Điều kiện dừng tầng 'Bây giờ' có con số</t>
        </is>
      </c>
      <c r="B9" s="44">
        <f>IF(AND(LEN('3_Bảng lộ trình'!B12)&gt;10,SUMPRODUCT(--ISNUMBER(SEARCH({"0","1","2","3","4","5","6","7","8","9"},'3_Bảng lộ trình'!B12)))&gt;0),"Có","Chưa")</f>
        <v/>
      </c>
      <c r="C9" s="44">
        <f>IF(B9="Có","Đạt","Xem lại")</f>
        <v/>
      </c>
    </row>
    <row r="10" ht="15" customHeight="1" s="33">
      <c r="A10" s="43" t="inlineStr">
        <is>
          <t>Căn cứ kinh tế có con số (từ số liệu của đề)</t>
        </is>
      </c>
      <c r="B10" s="44">
        <f>IF(AND(LEN('3_Bảng lộ trình'!B11)&gt;10,SUMPRODUCT(--ISNUMBER(SEARCH({"0","1","2","3","4","5","6","7","8","9"},'3_Bảng lộ trình'!B11)))&gt;0),"Có","Chưa")</f>
        <v/>
      </c>
      <c r="C10" s="44">
        <f>IF(B10="Có","Đạt","Xem lại")</f>
        <v/>
      </c>
    </row>
    <row r="11" ht="15" customHeight="1" s="33">
      <c r="A11" s="43" t="inlineStr">
        <is>
          <t>Slide lãnh đạo: số ô đạt (đủ chữ, không quá 60 chữ; cần 5)</t>
        </is>
      </c>
      <c r="B11" s="44">
        <f>COUNTIF('5_Slide lãnh đạo'!D4:D8,"Đạt")</f>
        <v/>
      </c>
      <c r="C11" s="44">
        <f>IF(B11=5,"Đạt","Xem lại")</f>
        <v/>
      </c>
    </row>
    <row r="12" ht="15" customHeight="1" s="33">
      <c r="A12" s="43" t="inlineStr">
        <is>
          <t>Số mức tự động có biên lợi nhuận ≥ 60% (cần ≥ 1)</t>
        </is>
      </c>
      <c r="B12" s="44">
        <f>COUNTIF('2_Mức tự động'!L5:L8,"Đạt")</f>
        <v/>
      </c>
      <c r="C12" s="44">
        <f>IF(B12&gt;=1,"Đạt","Xem lại")</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30" customWidth="1" style="32" min="2" max="2"/>
    <col width="80" customWidth="1" style="32" min="3" max="3"/>
    <col width="40" customWidth="1" style="32" min="4" max="4"/>
  </cols>
  <sheetData>
    <row r="1" ht="17.25" customHeight="1" s="33">
      <c r="A1" s="34" t="inlineStr">
        <is>
          <t>7 · Thang điểm sản phẩm (100 điểm)</t>
        </is>
      </c>
    </row>
    <row r="2" ht="15" customHeight="1" s="33">
      <c r="A2" s="35" t="n"/>
    </row>
    <row r="4" ht="15" customHeight="1" s="33">
      <c r="A4" s="42" t="inlineStr">
        <is>
          <t>Tiêu chí</t>
        </is>
      </c>
      <c r="B4" s="42" t="inlineStr">
        <is>
          <t>Điểm</t>
        </is>
      </c>
      <c r="C4" s="42" t="inlineStr">
        <is>
          <t>Bài đạt khi</t>
        </is>
      </c>
      <c r="D4" s="42" t="inlineStr">
        <is>
          <t>Điểm nhóm</t>
        </is>
      </c>
    </row>
    <row r="5" ht="15" customHeight="1" s="33">
      <c r="A5" s="43" t="inlineStr">
        <is>
          <t>Theo kết quả và giả thuyết</t>
        </is>
      </c>
      <c r="B5" s="32" t="n">
        <v>20</v>
      </c>
      <c r="C5" s="59" t="inlineStr">
        <is>
          <t>Mỗi việc có giả thuyết, chỉ số và ngưỡng, không chỉ là tên tính năng</t>
        </is>
      </c>
      <c r="D5" s="60" t="n"/>
    </row>
    <row r="6" ht="15" customHeight="1" s="33">
      <c r="A6" s="43" t="inlineStr">
        <is>
          <t>Ưu tiên có căn cứ</t>
        </is>
      </c>
      <c r="B6" s="32" t="n">
        <v>20</v>
      </c>
      <c r="C6" s="59" t="inlineStr">
        <is>
          <t>Bảng điểm ≥ 5 việc; có sẵn sàng dữ liệu, đánh giá và rủi ro bị nuốt; dùng số liệu kinh tế của đề; đổi thứ tự hoặc bỏ việc thì ghi lý do</t>
        </is>
      </c>
      <c r="D6" s="60" t="n"/>
    </row>
    <row r="7" ht="15" customHeight="1" s="33">
      <c r="A7" s="43" t="inlineStr">
        <is>
          <t>Mức tự động và cổng đánh giá</t>
        </is>
      </c>
      <c r="B7" s="32" t="n">
        <v>25</v>
      </c>
      <c r="C7" s="59" t="inlineStr">
        <is>
          <t>≥ 2 mức có cổng bằng con số (chỉ số, ngưỡng, cỡ mẫu); có vai trò của người; có chi phí mỗi việc theo mức</t>
        </is>
      </c>
      <c r="D7" s="60" t="n"/>
    </row>
    <row r="8" ht="15" customHeight="1" s="33">
      <c r="A8" s="43" t="inlineStr">
        <is>
          <t>Điều kiện cần và rủi ro</t>
        </is>
      </c>
      <c r="B8" s="32" t="n">
        <v>15</v>
      </c>
      <c r="C8" s="59" t="inlineStr">
        <is>
          <t>Nêu dữ liệu, hạ tầng, tuân thủ; điều kiện dừng đo được với quy mô thử nghiệm; có lịch rà soát</t>
        </is>
      </c>
      <c r="D8" s="60" t="n"/>
    </row>
    <row r="9" ht="15" customHeight="1" s="33">
      <c r="A9" s="43" t="inlineStr">
        <is>
          <t>Slide lãnh đạo</t>
        </is>
      </c>
      <c r="B9" s="32" t="n">
        <v>20</v>
      </c>
      <c r="C9" s="59" t="inlineStr">
        <is>
          <t>Kết luận trước, ≤ 60 chữ mỗi ô, trả lời được "cần gì" và "khi nào xem lại"</t>
        </is>
      </c>
      <c r="D9" s="60" t="n"/>
    </row>
    <row r="10" ht="15" customHeight="1" s="33">
      <c r="A10" s="41" t="inlineStr">
        <is>
          <t>TỔNG</t>
        </is>
      </c>
      <c r="B10" s="32">
        <f>SUM(B5:B9)</f>
        <v/>
      </c>
      <c r="D10" s="44">
        <f>SUM(D5:D9)</f>
        <v/>
      </c>
    </row>
    <row r="12" ht="15" customHeight="1" s="33">
      <c r="A12" s="41" t="n"/>
      <c r="D12" s="60" t="n"/>
    </row>
    <row r="15" ht="15" customHeight="1" s="33">
      <c r="A15" s="61" t="inlineStr">
        <is>
          <t>THANG ĐIỂM TRÌNH BÀY (1–5 điểm mỗi tiêu chí)</t>
        </is>
      </c>
    </row>
    <row r="16" ht="15" customHeight="1" s="33">
      <c r="A16" s="42" t="inlineStr">
        <is>
          <t>Tiêu chí</t>
        </is>
      </c>
      <c r="B16" s="42" t="inlineStr">
        <is>
          <t>Mức 1</t>
        </is>
      </c>
      <c r="C16" s="42" t="inlineStr">
        <is>
          <t>Mức 3</t>
        </is>
      </c>
      <c r="D16" s="42" t="inlineStr">
        <is>
          <t>Mức 5</t>
        </is>
      </c>
    </row>
    <row r="17" ht="45.75" customHeight="1" s="33">
      <c r="A17" s="62" t="inlineStr">
        <is>
          <t>Rõ ràng</t>
        </is>
      </c>
      <c r="B17" s="63" t="inlineStr">
        <is>
          <t>Câu đầu chưa có kết luận; người nghe phải đoán nhóm làm gì trước</t>
        </is>
      </c>
      <c r="C17" s="63" t="inlineStr">
        <is>
          <t>Có kết luận nhưng nói sau phần mở đầu, hoặc thiếu mốc quyết định</t>
        </is>
      </c>
      <c r="D17" s="63" t="inlineStr">
        <is>
          <t>Câu đầu có việc làm trước, mục tiêu bằng số và ngày quyết định</t>
        </is>
      </c>
    </row>
    <row r="18" ht="45.75" customHeight="1" s="33">
      <c r="A18" s="62" t="inlineStr">
        <is>
          <t>Bằng chứng</t>
        </is>
      </c>
      <c r="B18" s="63" t="inlineStr">
        <is>
          <t>Không có cổng đánh giá, hoặc số không có nguồn</t>
        </is>
      </c>
      <c r="C18" s="63" t="inlineStr">
        <is>
          <t>Có cổng nhưng thiếu cỡ mẫu hoặc căn cứ kinh tế</t>
        </is>
      </c>
      <c r="D18" s="63" t="inlineStr">
        <is>
          <t>Cổng đủ chỉ số, ngưỡng, cỡ mẫu; căn cứ kinh tế lấy từ số liệu của đề</t>
        </is>
      </c>
    </row>
    <row r="19" ht="45.75" customHeight="1" s="33">
      <c r="A19" s="62" t="inlineStr">
        <is>
          <t>Trả lời phản biện</t>
        </is>
      </c>
      <c r="B19" s="63" t="inlineStr">
        <is>
          <t>Né câu hỏi hoặc trả lời chung chung</t>
        </is>
      </c>
      <c r="C19" s="63" t="inlineStr">
        <is>
          <t>Trả lời đúng ý nhưng không dẫn số</t>
        </is>
      </c>
      <c r="D19" s="63" t="inlineStr">
        <is>
          <t>Trả lời thẳng, dẫn đúng con số trong file</t>
        </is>
      </c>
    </row>
    <row r="20" ht="45.75" customHeight="1" s="33">
      <c r="A20" s="62" t="inlineStr">
        <is>
          <t>Đúng giờ</t>
        </is>
      </c>
      <c r="B20" s="63" t="inlineStr">
        <is>
          <t>Quá 4 phút</t>
        </is>
      </c>
      <c r="C20" s="63" t="inlineStr">
        <is>
          <t>Từ 3 đến 4 phút</t>
        </is>
      </c>
      <c r="D20" s="63" t="inlineStr">
        <is>
          <t>Không quá 3 phút</t>
        </is>
      </c>
    </row>
    <row r="22" ht="15" customHeight="1" s="33">
      <c r="A22" s="53" t="inlineStr">
        <is>
          <t>Mức 2 và 4 dùng khi bài nằm giữa hai mô tả. Bản chuẩn của buổi học không có phần trình bày trên lớp: điểm buổi = thang sản phẩm 100 điểm ở trên. Thang trình bày chỉ dùng khi giảng viên tổ chức trình bày.</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2026-10-04T05:24:07Z</dcterms:created>
  <dcterms:modified xmlns:dcterms="http://purl.org/dc/terms/" xmlns:xsi="http://www.w3.org/2001/XMLSchema-instance" xsi:type="dcterms:W3CDTF">2026-10-16T08:13:00Z</dcterms:modified>
  <cp:revision>0</cp:revision>
</cp:coreProperties>
</file>